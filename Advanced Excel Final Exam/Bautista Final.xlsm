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ardo\OneDrive\Documents\"/>
    </mc:Choice>
  </mc:AlternateContent>
  <xr:revisionPtr revIDLastSave="0" documentId="13_ncr:1_{5030206F-B0EB-425C-A5C6-DBCB29B0E623}" xr6:coauthVersionLast="45" xr6:coauthVersionMax="45" xr10:uidLastSave="{00000000-0000-0000-0000-000000000000}"/>
  <bookViews>
    <workbookView xWindow="-120" yWindow="-120" windowWidth="20730" windowHeight="11160" tabRatio="792" activeTab="5" xr2:uid="{D260B747-0861-4327-9E09-E788F442EE8E}"/>
  </bookViews>
  <sheets>
    <sheet name="INDICACIONES" sheetId="2" r:id="rId1"/>
    <sheet name="CALCULO_COMISIÓN" sheetId="3" r:id="rId2"/>
    <sheet name="DATOS" sheetId="4" r:id="rId3"/>
    <sheet name="DESTINO" sheetId="5" r:id="rId4"/>
    <sheet name="PRODUCCIÓN_DEL_DÍA" sheetId="6" r:id="rId5"/>
    <sheet name="CONDICIÓN_PASAJERO" sheetId="7"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3" l="1"/>
  <c r="G4" i="3" a="1"/>
  <c r="H3" i="3" a="1"/>
  <c r="H4" i="3" a="1"/>
  <c r="H2" i="3" a="1"/>
  <c r="H5" i="3" a="1"/>
  <c r="G2" i="3" a="1"/>
  <c r="G5" i="3" a="1"/>
  <c r="G3" i="3" a="1"/>
  <c r="G4" i="3" l="1"/>
  <c r="G3" i="3"/>
  <c r="G5" i="3"/>
  <c r="H5" i="3"/>
  <c r="G2" i="3"/>
  <c r="H2" i="3"/>
  <c r="H4" i="3"/>
  <c r="H3" i="3"/>
  <c r="M120" i="4"/>
  <c r="N120" i="4" s="1"/>
  <c r="M119" i="4"/>
  <c r="N119" i="4" s="1"/>
  <c r="M118" i="4"/>
  <c r="N118" i="4" s="1"/>
  <c r="N117" i="4"/>
  <c r="M117" i="4"/>
  <c r="M116" i="4"/>
  <c r="N116" i="4" s="1"/>
  <c r="N115" i="4"/>
  <c r="M115" i="4"/>
  <c r="M114" i="4"/>
  <c r="N114" i="4" s="1"/>
  <c r="M113" i="4"/>
  <c r="N113" i="4" s="1"/>
  <c r="M112" i="4"/>
  <c r="N112" i="4" s="1"/>
  <c r="M111" i="4"/>
  <c r="N111" i="4" s="1"/>
  <c r="M110" i="4"/>
  <c r="N110" i="4" s="1"/>
  <c r="M109" i="4"/>
  <c r="N109" i="4" s="1"/>
  <c r="M108" i="4"/>
  <c r="N108" i="4" s="1"/>
  <c r="M107" i="4"/>
  <c r="N107" i="4" s="1"/>
  <c r="M106" i="4"/>
  <c r="N106" i="4" s="1"/>
  <c r="M105" i="4"/>
  <c r="N105" i="4" s="1"/>
  <c r="M104" i="4"/>
  <c r="N104" i="4" s="1"/>
  <c r="N103" i="4"/>
  <c r="M103" i="4"/>
  <c r="M102" i="4"/>
  <c r="N102" i="4" s="1"/>
  <c r="N101" i="4"/>
  <c r="M101" i="4"/>
  <c r="M100" i="4"/>
  <c r="N100" i="4" s="1"/>
  <c r="N99" i="4"/>
  <c r="M99" i="4"/>
  <c r="M98" i="4"/>
  <c r="N98" i="4" s="1"/>
  <c r="M97" i="4"/>
  <c r="N97" i="4" s="1"/>
  <c r="M96" i="4"/>
  <c r="N96" i="4" s="1"/>
  <c r="M95" i="4"/>
  <c r="N95" i="4" s="1"/>
  <c r="M94" i="4"/>
  <c r="N94" i="4" s="1"/>
  <c r="M93" i="4"/>
  <c r="N93" i="4" s="1"/>
  <c r="M92" i="4"/>
  <c r="N92" i="4" s="1"/>
  <c r="M91" i="4"/>
  <c r="N91" i="4" s="1"/>
  <c r="M90" i="4"/>
  <c r="N90" i="4" s="1"/>
  <c r="M89" i="4"/>
  <c r="N89" i="4" s="1"/>
  <c r="M88" i="4"/>
  <c r="N88" i="4" s="1"/>
  <c r="N87" i="4"/>
  <c r="M87" i="4"/>
  <c r="M86" i="4"/>
  <c r="N86" i="4" s="1"/>
  <c r="N85" i="4"/>
  <c r="M85" i="4"/>
  <c r="M84" i="4"/>
  <c r="N84" i="4" s="1"/>
  <c r="N83" i="4"/>
  <c r="M83" i="4"/>
  <c r="M82" i="4"/>
  <c r="N82" i="4" s="1"/>
  <c r="M81" i="4"/>
  <c r="N81" i="4" s="1"/>
  <c r="M80" i="4"/>
  <c r="N80" i="4" s="1"/>
  <c r="M79" i="4"/>
  <c r="N79" i="4" s="1"/>
  <c r="M78" i="4"/>
  <c r="N78" i="4" s="1"/>
  <c r="M77" i="4"/>
  <c r="N77" i="4" s="1"/>
  <c r="M76" i="4"/>
  <c r="N76" i="4" s="1"/>
  <c r="M75" i="4"/>
  <c r="N75" i="4" s="1"/>
  <c r="M74" i="4"/>
  <c r="N74" i="4" s="1"/>
  <c r="M73" i="4"/>
  <c r="N73" i="4" s="1"/>
  <c r="M72" i="4"/>
  <c r="N72" i="4" s="1"/>
  <c r="N71" i="4"/>
  <c r="M71" i="4"/>
  <c r="M70" i="4"/>
  <c r="N70" i="4" s="1"/>
  <c r="N69" i="4"/>
  <c r="M69" i="4"/>
  <c r="M68" i="4"/>
  <c r="N68" i="4" s="1"/>
  <c r="N67" i="4"/>
  <c r="M67" i="4"/>
  <c r="M66" i="4"/>
  <c r="N66" i="4" s="1"/>
  <c r="M65" i="4"/>
  <c r="N65" i="4" s="1"/>
  <c r="M64" i="4"/>
  <c r="N64" i="4" s="1"/>
  <c r="M63" i="4"/>
  <c r="N63" i="4" s="1"/>
  <c r="M62" i="4"/>
  <c r="N62" i="4" s="1"/>
  <c r="M61" i="4"/>
  <c r="N61" i="4" s="1"/>
  <c r="M60" i="4"/>
  <c r="N60" i="4" s="1"/>
  <c r="M59" i="4"/>
  <c r="N59" i="4" s="1"/>
  <c r="M58" i="4"/>
  <c r="N58" i="4" s="1"/>
  <c r="M57" i="4"/>
  <c r="N57" i="4" s="1"/>
  <c r="M56" i="4"/>
  <c r="N56" i="4" s="1"/>
  <c r="N55" i="4"/>
  <c r="M55" i="4"/>
  <c r="M54" i="4"/>
  <c r="N54" i="4" s="1"/>
  <c r="N53" i="4"/>
  <c r="M53" i="4"/>
  <c r="M52" i="4"/>
  <c r="N52" i="4" s="1"/>
  <c r="N51" i="4"/>
  <c r="M51" i="4"/>
  <c r="M50" i="4"/>
  <c r="N50" i="4" s="1"/>
  <c r="M49" i="4"/>
  <c r="N49" i="4" s="1"/>
  <c r="M48" i="4"/>
  <c r="N48" i="4" s="1"/>
  <c r="M47" i="4"/>
  <c r="N47" i="4" s="1"/>
  <c r="M46" i="4"/>
  <c r="N46" i="4" s="1"/>
  <c r="M45" i="4"/>
  <c r="N45" i="4" s="1"/>
  <c r="M44" i="4"/>
  <c r="N44" i="4" s="1"/>
  <c r="M43" i="4"/>
  <c r="N43" i="4" s="1"/>
  <c r="M42" i="4"/>
  <c r="N42" i="4" s="1"/>
  <c r="M41" i="4"/>
  <c r="N41" i="4" s="1"/>
  <c r="M40" i="4"/>
  <c r="N40" i="4" s="1"/>
  <c r="N39" i="4"/>
  <c r="M39" i="4"/>
  <c r="M38" i="4"/>
  <c r="N38" i="4" s="1"/>
  <c r="N37" i="4"/>
  <c r="M37" i="4"/>
  <c r="M36" i="4"/>
  <c r="N36" i="4" s="1"/>
  <c r="N35" i="4"/>
  <c r="M35" i="4"/>
  <c r="M34" i="4"/>
  <c r="N34" i="4" s="1"/>
  <c r="M33" i="4"/>
  <c r="N33" i="4" s="1"/>
  <c r="M32" i="4"/>
  <c r="N32" i="4" s="1"/>
  <c r="M31" i="4"/>
  <c r="N31" i="4" s="1"/>
  <c r="M30" i="4"/>
  <c r="N30" i="4" s="1"/>
  <c r="M29" i="4"/>
  <c r="N29" i="4" s="1"/>
  <c r="M28" i="4"/>
  <c r="N28" i="4" s="1"/>
  <c r="M27" i="4"/>
  <c r="N27" i="4" s="1"/>
  <c r="M26" i="4"/>
  <c r="N26" i="4" s="1"/>
  <c r="M25" i="4"/>
  <c r="N25" i="4" s="1"/>
  <c r="M24" i="4"/>
  <c r="N24" i="4" s="1"/>
  <c r="N23" i="4"/>
  <c r="M23" i="4"/>
  <c r="M22" i="4"/>
  <c r="N22" i="4" s="1"/>
  <c r="N21" i="4"/>
  <c r="M21" i="4"/>
  <c r="M20" i="4"/>
  <c r="N20" i="4" s="1"/>
  <c r="N19" i="4"/>
  <c r="M19" i="4"/>
  <c r="M18" i="4"/>
  <c r="N18" i="4" s="1"/>
  <c r="M17" i="4"/>
  <c r="N17" i="4" s="1"/>
  <c r="M16" i="4"/>
  <c r="N16" i="4" s="1"/>
  <c r="M15" i="4"/>
  <c r="N15" i="4" s="1"/>
  <c r="M14" i="4"/>
  <c r="N14" i="4" s="1"/>
  <c r="M13" i="4"/>
  <c r="N13" i="4" s="1"/>
  <c r="M12" i="4"/>
  <c r="N12" i="4" s="1"/>
  <c r="M11" i="4"/>
  <c r="N11" i="4" s="1"/>
  <c r="M10" i="4"/>
  <c r="N10" i="4" s="1"/>
  <c r="M9" i="4"/>
  <c r="N9" i="4" s="1"/>
  <c r="M8" i="4"/>
  <c r="N8" i="4" s="1"/>
  <c r="N7" i="4"/>
  <c r="M7" i="4"/>
  <c r="M6" i="4"/>
  <c r="N6" i="4" s="1"/>
  <c r="N5" i="4"/>
  <c r="M5" i="4"/>
  <c r="M4" i="4"/>
  <c r="N4" i="4" s="1"/>
  <c r="F5" i="3"/>
  <c r="F4" i="3"/>
  <c r="F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<sst xmlns="http://schemas.openxmlformats.org/spreadsheetml/2006/main" count="1655" uniqueCount="350">
  <si>
    <t>Atte,</t>
  </si>
  <si>
    <t>Ricardo Crispín Morris</t>
  </si>
  <si>
    <t>Docente de Excel Empresarial, Macros y Power BI</t>
  </si>
  <si>
    <t>En la evaluación se consideran los temas vistos en clase de Procedimientos, Toma de Decisiones, Bucles, Funciones Personalizadas</t>
  </si>
  <si>
    <t>Guardar el archivo con su Nombre y Apellido.</t>
  </si>
  <si>
    <t>Nombre</t>
  </si>
  <si>
    <t>Apellido</t>
  </si>
  <si>
    <t>Salario base</t>
  </si>
  <si>
    <t>Tipo vendedor</t>
  </si>
  <si>
    <t>Ventas</t>
  </si>
  <si>
    <t>Comision Nivel basico</t>
  </si>
  <si>
    <t>Comision IF ELSE</t>
  </si>
  <si>
    <t>Comision Select Case</t>
  </si>
  <si>
    <t>Jose</t>
  </si>
  <si>
    <t>Lopez</t>
  </si>
  <si>
    <t>Antonio</t>
  </si>
  <si>
    <t>Martin</t>
  </si>
  <si>
    <t>Ana</t>
  </si>
  <si>
    <t>Gomez</t>
  </si>
  <si>
    <t>Maria</t>
  </si>
  <si>
    <t>Gonzalez</t>
  </si>
  <si>
    <t>Vendedor tipo 1…</t>
  </si>
  <si>
    <t>Vendedor tipo 2…</t>
  </si>
  <si>
    <t>Vendedor tipo 3…</t>
  </si>
  <si>
    <t>Lista de Empleados</t>
  </si>
  <si>
    <t>NOMBRE</t>
  </si>
  <si>
    <t>APELLIDO</t>
  </si>
  <si>
    <t>DEPART</t>
  </si>
  <si>
    <t>EMPLEO</t>
  </si>
  <si>
    <t>DISTRITO</t>
  </si>
  <si>
    <t>FECING</t>
  </si>
  <si>
    <t>VACACIONES</t>
  </si>
  <si>
    <t>FECNAC</t>
  </si>
  <si>
    <t>ECIVIL</t>
  </si>
  <si>
    <t>SEXO</t>
  </si>
  <si>
    <t>HIJOS</t>
  </si>
  <si>
    <t>SALARIO</t>
  </si>
  <si>
    <t>BONIF</t>
  </si>
  <si>
    <t>S.NETO</t>
  </si>
  <si>
    <t>Aaron</t>
  </si>
  <si>
    <t>Able</t>
  </si>
  <si>
    <t>Administración</t>
  </si>
  <si>
    <t>Aux. Administrativo</t>
  </si>
  <si>
    <t>Breña</t>
  </si>
  <si>
    <t>Julio</t>
  </si>
  <si>
    <t>S</t>
  </si>
  <si>
    <t>M</t>
  </si>
  <si>
    <t>Alex</t>
  </si>
  <si>
    <t>Hodge</t>
  </si>
  <si>
    <t>Mercado</t>
  </si>
  <si>
    <t>Director Unidad</t>
  </si>
  <si>
    <t>La Molina</t>
  </si>
  <si>
    <t>Noviembre</t>
  </si>
  <si>
    <t>C</t>
  </si>
  <si>
    <t>Sindole</t>
  </si>
  <si>
    <t>Ingeniería</t>
  </si>
  <si>
    <t>Ing. Técnico</t>
  </si>
  <si>
    <t>Jesus Maria</t>
  </si>
  <si>
    <t>Octubre</t>
  </si>
  <si>
    <t>Alexandra</t>
  </si>
  <si>
    <t>Lempert</t>
  </si>
  <si>
    <t>I + D</t>
  </si>
  <si>
    <t>Investigador</t>
  </si>
  <si>
    <t>El Rimac</t>
  </si>
  <si>
    <t>V</t>
  </si>
  <si>
    <t>F</t>
  </si>
  <si>
    <t>Alice</t>
  </si>
  <si>
    <t>Raye</t>
  </si>
  <si>
    <t>Aux. Admin. Unidad</t>
  </si>
  <si>
    <t>Barranco</t>
  </si>
  <si>
    <t>Marzo</t>
  </si>
  <si>
    <t>Allen</t>
  </si>
  <si>
    <t>Plant</t>
  </si>
  <si>
    <t>Contabilidad</t>
  </si>
  <si>
    <t>Los Olivos</t>
  </si>
  <si>
    <t>Alyssa</t>
  </si>
  <si>
    <t>Mann</t>
  </si>
  <si>
    <t>Ing. Mecánico</t>
  </si>
  <si>
    <t>San Isidro</t>
  </si>
  <si>
    <t>Abril</t>
  </si>
  <si>
    <t>Anna</t>
  </si>
  <si>
    <t>Selznick</t>
  </si>
  <si>
    <t>Contable</t>
  </si>
  <si>
    <t>Ari</t>
  </si>
  <si>
    <t>Solomon</t>
  </si>
  <si>
    <t>Ing. Software</t>
  </si>
  <si>
    <t>Febrero</t>
  </si>
  <si>
    <t>Ariel</t>
  </si>
  <si>
    <t>Sofer</t>
  </si>
  <si>
    <t>D</t>
  </si>
  <si>
    <t>Barbara</t>
  </si>
  <si>
    <t>Smith</t>
  </si>
  <si>
    <t>Aux. Técnico</t>
  </si>
  <si>
    <t>Ate</t>
  </si>
  <si>
    <t>Bill</t>
  </si>
  <si>
    <t>Hardy</t>
  </si>
  <si>
    <t>Investigador Jefe</t>
  </si>
  <si>
    <t>Surco</t>
  </si>
  <si>
    <t>Bob</t>
  </si>
  <si>
    <t>Robbins</t>
  </si>
  <si>
    <t>Bobby</t>
  </si>
  <si>
    <t>Berg</t>
  </si>
  <si>
    <t>Director Ingeniería</t>
  </si>
  <si>
    <t>Brad</t>
  </si>
  <si>
    <t>McKormick</t>
  </si>
  <si>
    <t>Ingeniero Jefe</t>
  </si>
  <si>
    <t>Brent</t>
  </si>
  <si>
    <t>Cronwith</t>
  </si>
  <si>
    <t>Técnico</t>
  </si>
  <si>
    <t>Burt</t>
  </si>
  <si>
    <t>Constance</t>
  </si>
  <si>
    <t>Surquillo</t>
  </si>
  <si>
    <t>Carla</t>
  </si>
  <si>
    <t>Sampson</t>
  </si>
  <si>
    <t>Respon. Producto</t>
  </si>
  <si>
    <t>San Miguel</t>
  </si>
  <si>
    <t>Mayo</t>
  </si>
  <si>
    <t>Caroline</t>
  </si>
  <si>
    <t>Fein</t>
  </si>
  <si>
    <t>Septiembre</t>
  </si>
  <si>
    <t>Caroll</t>
  </si>
  <si>
    <t>Aruda</t>
  </si>
  <si>
    <t>Lince</t>
  </si>
  <si>
    <t>Junio</t>
  </si>
  <si>
    <t>Cathy</t>
  </si>
  <si>
    <t>Abdul</t>
  </si>
  <si>
    <t>Miraflores</t>
  </si>
  <si>
    <t>Charles</t>
  </si>
  <si>
    <t>Cortlandt</t>
  </si>
  <si>
    <t>Representante</t>
  </si>
  <si>
    <t>San Borja</t>
  </si>
  <si>
    <t>Agosto</t>
  </si>
  <si>
    <t>Cindy</t>
  </si>
  <si>
    <t>Stone</t>
  </si>
  <si>
    <t>Daoud</t>
  </si>
  <si>
    <t>Al-Sabah</t>
  </si>
  <si>
    <t>Dave</t>
  </si>
  <si>
    <t>Cummins</t>
  </si>
  <si>
    <t>David</t>
  </si>
  <si>
    <t>Price</t>
  </si>
  <si>
    <t>San Martin</t>
  </si>
  <si>
    <t>Dennis</t>
  </si>
  <si>
    <t>Coyne</t>
  </si>
  <si>
    <t>Enero</t>
  </si>
  <si>
    <t>Donald</t>
  </si>
  <si>
    <t>Lark</t>
  </si>
  <si>
    <t>Diciembre</t>
  </si>
  <si>
    <t>Ed</t>
  </si>
  <si>
    <t>Nelson</t>
  </si>
  <si>
    <t>Diseño</t>
  </si>
  <si>
    <t>Especialista Diseño</t>
  </si>
  <si>
    <t>Eileen</t>
  </si>
  <si>
    <t>Barton</t>
  </si>
  <si>
    <t>Ellen</t>
  </si>
  <si>
    <t>McGuire</t>
  </si>
  <si>
    <t>El Agustino</t>
  </si>
  <si>
    <t>Eric</t>
  </si>
  <si>
    <t>Levine</t>
  </si>
  <si>
    <t>Evelyn</t>
  </si>
  <si>
    <t>Sargent</t>
  </si>
  <si>
    <t>Everett</t>
  </si>
  <si>
    <t>Townes</t>
  </si>
  <si>
    <t>Felice</t>
  </si>
  <si>
    <t>Felipe</t>
  </si>
  <si>
    <t>Melendez</t>
  </si>
  <si>
    <t>Felix</t>
  </si>
  <si>
    <t>Foss</t>
  </si>
  <si>
    <t>Comas</t>
  </si>
  <si>
    <t>Frank</t>
  </si>
  <si>
    <t>Bellwood</t>
  </si>
  <si>
    <t>Boughton</t>
  </si>
  <si>
    <t>Auxiliar Contable</t>
  </si>
  <si>
    <t>Gail</t>
  </si>
  <si>
    <t>Scote</t>
  </si>
  <si>
    <t>George</t>
  </si>
  <si>
    <t>Chu</t>
  </si>
  <si>
    <t>Hazel</t>
  </si>
  <si>
    <t>Gorton</t>
  </si>
  <si>
    <t>Hilda</t>
  </si>
  <si>
    <t>Wolf</t>
  </si>
  <si>
    <t>Howard</t>
  </si>
  <si>
    <t>Aux. Diseño</t>
  </si>
  <si>
    <t>Iain</t>
  </si>
  <si>
    <t>Stewart</t>
  </si>
  <si>
    <t>Isolde</t>
  </si>
  <si>
    <t>Alstain</t>
  </si>
  <si>
    <t>Jaime</t>
  </si>
  <si>
    <t>Janet</t>
  </si>
  <si>
    <t>Miller</t>
  </si>
  <si>
    <t>Jason</t>
  </si>
  <si>
    <t>Wells</t>
  </si>
  <si>
    <t>Magdalena</t>
  </si>
  <si>
    <t>Jean</t>
  </si>
  <si>
    <t>Fontaine</t>
  </si>
  <si>
    <t>Jeremy</t>
  </si>
  <si>
    <t>Dorfberg</t>
  </si>
  <si>
    <t>Jessica</t>
  </si>
  <si>
    <t>White</t>
  </si>
  <si>
    <t>Jhon</t>
  </si>
  <si>
    <t>Joe</t>
  </si>
  <si>
    <t>Gonzales</t>
  </si>
  <si>
    <t>John</t>
  </si>
  <si>
    <t>Sammler</t>
  </si>
  <si>
    <t>Jules</t>
  </si>
  <si>
    <t>Ferngood</t>
  </si>
  <si>
    <t>Karen</t>
  </si>
  <si>
    <t>Quan</t>
  </si>
  <si>
    <t>Davison</t>
  </si>
  <si>
    <t>Kendrick</t>
  </si>
  <si>
    <t>Hapsbuch</t>
  </si>
  <si>
    <t>Kris</t>
  </si>
  <si>
    <t>Mueller</t>
  </si>
  <si>
    <t>Leslie</t>
  </si>
  <si>
    <t>Smythe</t>
  </si>
  <si>
    <t>Linda</t>
  </si>
  <si>
    <t>Cooper</t>
  </si>
  <si>
    <t>Lisa</t>
  </si>
  <si>
    <t>Barber</t>
  </si>
  <si>
    <t>Ygarre</t>
  </si>
  <si>
    <t>Bates</t>
  </si>
  <si>
    <t>Lise-Anne</t>
  </si>
  <si>
    <t>Tuppman</t>
  </si>
  <si>
    <t>Liza</t>
  </si>
  <si>
    <t>Preston</t>
  </si>
  <si>
    <t>Malcolm</t>
  </si>
  <si>
    <t>Goldberg</t>
  </si>
  <si>
    <t>Margot</t>
  </si>
  <si>
    <t>Mark</t>
  </si>
  <si>
    <t>Henders</t>
  </si>
  <si>
    <t>Mary</t>
  </si>
  <si>
    <t>Cash</t>
  </si>
  <si>
    <t>Matias</t>
  </si>
  <si>
    <t>Matt</t>
  </si>
  <si>
    <t>Seidel</t>
  </si>
  <si>
    <t>Maxine</t>
  </si>
  <si>
    <t>Albert</t>
  </si>
  <si>
    <t>Megan</t>
  </si>
  <si>
    <t>Homes</t>
  </si>
  <si>
    <t>Melia</t>
  </si>
  <si>
    <t>Brwyne</t>
  </si>
  <si>
    <t>Melissa</t>
  </si>
  <si>
    <t>Zostoc</t>
  </si>
  <si>
    <t>Michael</t>
  </si>
  <si>
    <t>Lin</t>
  </si>
  <si>
    <t>Midori</t>
  </si>
  <si>
    <t>Kaneko</t>
  </si>
  <si>
    <t>Miguel</t>
  </si>
  <si>
    <t>Johnson</t>
  </si>
  <si>
    <t>Nate</t>
  </si>
  <si>
    <t>Cane</t>
  </si>
  <si>
    <t>Pam</t>
  </si>
  <si>
    <t>Kegler</t>
  </si>
  <si>
    <t>Pete</t>
  </si>
  <si>
    <t>Lampstone</t>
  </si>
  <si>
    <t>Phillip</t>
  </si>
  <si>
    <t>Richards</t>
  </si>
  <si>
    <t>Ralph</t>
  </si>
  <si>
    <t>Taylor</t>
  </si>
  <si>
    <t>Group Mgr.</t>
  </si>
  <si>
    <t>Randy</t>
  </si>
  <si>
    <t>Rich</t>
  </si>
  <si>
    <t>Farley</t>
  </si>
  <si>
    <t>Rob</t>
  </si>
  <si>
    <t>Corwick</t>
  </si>
  <si>
    <t>Robert</t>
  </si>
  <si>
    <t>North</t>
  </si>
  <si>
    <t>Tercan</t>
  </si>
  <si>
    <t>Rose</t>
  </si>
  <si>
    <t>Rowena</t>
  </si>
  <si>
    <t>Bankler</t>
  </si>
  <si>
    <t>Sam</t>
  </si>
  <si>
    <t>Weston</t>
  </si>
  <si>
    <t>Berwick</t>
  </si>
  <si>
    <t>Sandra</t>
  </si>
  <si>
    <t>Barth</t>
  </si>
  <si>
    <t>Sandrae</t>
  </si>
  <si>
    <t>Simpson</t>
  </si>
  <si>
    <t>Sara</t>
  </si>
  <si>
    <t>Morton</t>
  </si>
  <si>
    <t>Sherrie</t>
  </si>
  <si>
    <t>Dixon-Waite</t>
  </si>
  <si>
    <t>Sheryl</t>
  </si>
  <si>
    <t>Kane</t>
  </si>
  <si>
    <t>Stephanie</t>
  </si>
  <si>
    <t>Alexi</t>
  </si>
  <si>
    <t>Steven</t>
  </si>
  <si>
    <t>Susan</t>
  </si>
  <si>
    <t>Beech</t>
  </si>
  <si>
    <t>Tadeuz</t>
  </si>
  <si>
    <t>Szcznyck</t>
  </si>
  <si>
    <t>Tammy</t>
  </si>
  <si>
    <t>Wu</t>
  </si>
  <si>
    <t>Theo</t>
  </si>
  <si>
    <t>Kourios</t>
  </si>
  <si>
    <t>Tom</t>
  </si>
  <si>
    <t>Bell</t>
  </si>
  <si>
    <t>Tommie</t>
  </si>
  <si>
    <t>Kellerman</t>
  </si>
  <si>
    <t>Toni</t>
  </si>
  <si>
    <t>Asonte</t>
  </si>
  <si>
    <t>Tuome</t>
  </si>
  <si>
    <t>Vuanuo</t>
  </si>
  <si>
    <t>Ursula</t>
  </si>
  <si>
    <t>Aquí debe llegar los datos copiado de la Hoja "Data"</t>
  </si>
  <si>
    <t>Producción en una Empresa Manufacturera</t>
  </si>
  <si>
    <t>Hora</t>
  </si>
  <si>
    <t>Producción (unidades)</t>
  </si>
  <si>
    <t>Acumulado</t>
  </si>
  <si>
    <t>00:00</t>
  </si>
  <si>
    <t>01:00</t>
  </si>
  <si>
    <t>02:00</t>
  </si>
  <si>
    <t>03:00</t>
  </si>
  <si>
    <t>04:00</t>
  </si>
  <si>
    <t>05:00</t>
  </si>
  <si>
    <t>06:00</t>
  </si>
  <si>
    <t>07:00</t>
  </si>
  <si>
    <t>08:00</t>
  </si>
  <si>
    <t>09:00</t>
  </si>
  <si>
    <t>10:00</t>
  </si>
  <si>
    <t>11:00</t>
  </si>
  <si>
    <t>12:00</t>
  </si>
  <si>
    <t>13:00</t>
  </si>
  <si>
    <t>14:00</t>
  </si>
  <si>
    <t>15:00</t>
  </si>
  <si>
    <t>16:00</t>
  </si>
  <si>
    <t>17:00</t>
  </si>
  <si>
    <t>18:00</t>
  </si>
  <si>
    <t>19:00</t>
  </si>
  <si>
    <t>20:00</t>
  </si>
  <si>
    <t>21:00</t>
  </si>
  <si>
    <t>22:00</t>
  </si>
  <si>
    <t>23:00</t>
  </si>
  <si>
    <t>PASAJERO</t>
  </si>
  <si>
    <t>EDAD</t>
  </si>
  <si>
    <t>CONDICIÓN</t>
  </si>
  <si>
    <t>NOTA: Crear el código de cada ejercicio en un módulo independiente.</t>
  </si>
  <si>
    <t>El presente es una serie de ejercicios de programación en VBA que finalmente definirá la Nota Final de curso de Excel Avanzado.</t>
  </si>
  <si>
    <t>La evaluación se entregará a más tardar el martes 15 de agosto hasta la medianoche.</t>
  </si>
  <si>
    <t>Comision_If_Else</t>
  </si>
  <si>
    <t>Comision_Case</t>
  </si>
  <si>
    <t>Argumento 1</t>
  </si>
  <si>
    <t>Argumento 2</t>
  </si>
  <si>
    <t>Argumento 3</t>
  </si>
  <si>
    <t>Subrutina copiardatos</t>
  </si>
  <si>
    <t>Subrutina ProdAcumulada</t>
  </si>
  <si>
    <t>Mayor de Edad Mujer</t>
  </si>
  <si>
    <t>Mayor de Edad Hombre</t>
  </si>
  <si>
    <t>Menor de Edad Mujer</t>
  </si>
  <si>
    <t>Menor de Edad Hombre</t>
  </si>
  <si>
    <t>Subrutina cond_pasajero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</si>
</sst>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S/.&quot;#,##0.00;\-&quot;S/.&quot;#,##0.00"/>
    <numFmt numFmtId="43" formatCode="_-* #,##0.00_-;\-* #,##0.00_-;_-* &quot;-&quot;??_-;_-@_-"/>
    <numFmt numFmtId="164" formatCode="_-&quot;S/&quot;* #,##0.00_-;\-&quot;S/&quot;* #,##0.00_-;_-&quot;S/&quot;* &quot;-&quot;??_-;_-@_-"/>
    <numFmt numFmtId="165" formatCode="_(* #,##0.00_);_(* \(#,##0.0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8"/>
      <color rgb="FF001C54"/>
      <name val="Calibri"/>
      <family val="2"/>
      <scheme val="minor"/>
    </font>
    <font>
      <b/>
      <sz val="16"/>
      <color rgb="FF001C54"/>
      <name val="Calibri"/>
      <family val="2"/>
      <scheme val="minor"/>
    </font>
    <font>
      <b/>
      <sz val="11"/>
      <name val="Calibri"/>
      <family val="2"/>
      <scheme val="minor"/>
    </font>
    <font>
      <b/>
      <sz val="11"/>
      <color rgb="FF002060"/>
      <name val="Calibri"/>
      <family val="2"/>
      <scheme val="minor"/>
    </font>
    <font>
      <b/>
      <sz val="12"/>
      <color indexed="9"/>
      <name val="Arial"/>
      <family val="2"/>
    </font>
    <font>
      <b/>
      <sz val="10"/>
      <color indexed="9"/>
      <name val="Arial"/>
      <family val="2"/>
    </font>
    <font>
      <b/>
      <sz val="10"/>
      <color indexed="9"/>
      <name val="Arial"/>
      <family val="2"/>
    </font>
    <font>
      <sz val="14"/>
      <color rgb="FFFF0000"/>
      <name val="Calibri"/>
      <family val="2"/>
      <scheme val="minor"/>
    </font>
    <font>
      <b/>
      <sz val="11"/>
      <color rgb="FFFF0000"/>
      <name val="Calibri"/>
      <family val="2"/>
      <scheme val="minor"/>
    </font>
    <font>
      <sz val="10"/>
      <color theme="1"/>
      <name val="Arial Narrow"/>
      <family val="2"/>
    </font>
    <font>
      <b/>
      <sz val="12"/>
      <color theme="0"/>
      <name val="Arial Narrow"/>
      <family val="2"/>
    </font>
    <font>
      <sz val="12"/>
      <color theme="1"/>
      <name val="Arial Narrow"/>
      <family val="2"/>
    </font>
    <font>
      <b/>
      <sz val="18"/>
      <color rgb="FFFF0000"/>
      <name val="Calibri"/>
      <family val="2"/>
      <scheme val="minor"/>
    </font>
    <font>
      <sz val="8"/>
      <name val="Calibri"/>
      <family val="2"/>
      <scheme val="minor"/>
    </font>
    <font>
      <sz val="11"/>
      <color theme="1"/>
      <name val="Arial Narrow"/>
      <family val="2"/>
    </font>
  </fonts>
  <fills count="11">
    <fill>
      <patternFill patternType="none"/>
    </fill>
    <fill>
      <patternFill patternType="gray125"/>
    </fill>
    <fill>
      <patternFill patternType="solid">
        <fgColor rgb="FF001C54"/>
        <bgColor indexed="64"/>
      </patternFill>
    </fill>
    <fill>
      <patternFill patternType="solid">
        <fgColor theme="1" tint="0.499984740745262"/>
        <bgColor indexed="64"/>
      </patternFill>
    </fill>
    <fill>
      <patternFill patternType="solid">
        <fgColor rgb="FFFFFF00"/>
        <bgColor indexed="64"/>
      </patternFill>
    </fill>
    <fill>
      <patternFill patternType="solid">
        <fgColor theme="5"/>
        <bgColor indexed="64"/>
      </patternFill>
    </fill>
    <fill>
      <patternFill patternType="solid">
        <fgColor theme="0" tint="-0.249977111117893"/>
        <bgColor indexed="64"/>
      </patternFill>
    </fill>
    <fill>
      <patternFill patternType="solid">
        <fgColor indexed="12"/>
        <bgColor indexed="64"/>
      </patternFill>
    </fill>
    <fill>
      <patternFill patternType="solid">
        <fgColor indexed="32"/>
        <bgColor indexed="64"/>
      </patternFill>
    </fill>
    <fill>
      <patternFill patternType="solid">
        <fgColor rgb="FF002060"/>
        <bgColor indexed="64"/>
      </patternFill>
    </fill>
    <fill>
      <patternFill patternType="solid">
        <fgColor theme="4"/>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left>
      <right style="thin">
        <color theme="4"/>
      </right>
      <top style="thin">
        <color theme="4"/>
      </top>
      <bottom style="thin">
        <color theme="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43"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3" fillId="0" borderId="0"/>
  </cellStyleXfs>
  <cellXfs count="44">
    <xf numFmtId="0" fontId="0" fillId="0" borderId="0" xfId="0"/>
    <xf numFmtId="0" fontId="0" fillId="2" borderId="0" xfId="0" applyFill="1"/>
    <xf numFmtId="0" fontId="4" fillId="0" borderId="0" xfId="0" applyFont="1"/>
    <xf numFmtId="0" fontId="5" fillId="0" borderId="0" xfId="0" applyFont="1"/>
    <xf numFmtId="0" fontId="6" fillId="3" borderId="0" xfId="0" applyFont="1" applyFill="1" applyAlignment="1">
      <alignment horizontal="center"/>
    </xf>
    <xf numFmtId="0" fontId="6" fillId="4" borderId="0" xfId="0" applyFont="1" applyFill="1" applyAlignment="1">
      <alignment horizontal="center"/>
    </xf>
    <xf numFmtId="0" fontId="6" fillId="5" borderId="0" xfId="0" applyFont="1" applyFill="1" applyAlignment="1">
      <alignment horizontal="center"/>
    </xf>
    <xf numFmtId="0" fontId="6" fillId="4" borderId="1" xfId="0" applyFont="1" applyFill="1" applyBorder="1" applyAlignment="1">
      <alignment horizontal="center"/>
    </xf>
    <xf numFmtId="0" fontId="0" fillId="0" borderId="1" xfId="0" applyBorder="1" applyAlignment="1">
      <alignment horizontal="center"/>
    </xf>
    <xf numFmtId="0" fontId="3" fillId="6" borderId="1" xfId="0" applyFont="1" applyFill="1" applyBorder="1" applyAlignment="1">
      <alignment horizontal="center"/>
    </xf>
    <xf numFmtId="0" fontId="0" fillId="0" borderId="0" xfId="0" applyAlignment="1">
      <alignment horizontal="center"/>
    </xf>
    <xf numFmtId="9" fontId="0" fillId="0" borderId="0" xfId="3" applyFont="1" applyAlignment="1">
      <alignment horizontal="center"/>
    </xf>
    <xf numFmtId="0" fontId="9" fillId="8" borderId="0" xfId="0" applyFont="1" applyFill="1" applyAlignment="1">
      <alignment horizontal="center"/>
    </xf>
    <xf numFmtId="15" fontId="0" fillId="0" borderId="0" xfId="0" applyNumberFormat="1"/>
    <xf numFmtId="43" fontId="1" fillId="0" borderId="0" xfId="1"/>
    <xf numFmtId="165" fontId="0" fillId="0" borderId="0" xfId="0" applyNumberFormat="1"/>
    <xf numFmtId="49" fontId="10" fillId="8" borderId="0" xfId="0" applyNumberFormat="1" applyFont="1" applyFill="1" applyAlignment="1">
      <alignment horizontal="center"/>
    </xf>
    <xf numFmtId="164" fontId="10" fillId="8" borderId="0" xfId="2" applyFont="1" applyFill="1" applyAlignment="1">
      <alignment horizontal="center"/>
    </xf>
    <xf numFmtId="0" fontId="10" fillId="8" borderId="0" xfId="0" applyFont="1" applyFill="1" applyAlignment="1">
      <alignment horizontal="center"/>
    </xf>
    <xf numFmtId="0" fontId="11" fillId="0" borderId="0" xfId="0" applyFont="1"/>
    <xf numFmtId="49" fontId="0" fillId="0" borderId="1" xfId="0" applyNumberFormat="1" applyBorder="1" applyAlignment="1">
      <alignment horizontal="center"/>
    </xf>
    <xf numFmtId="0" fontId="2" fillId="9" borderId="1" xfId="0" applyFont="1" applyFill="1" applyBorder="1" applyAlignment="1">
      <alignment horizontal="center"/>
    </xf>
    <xf numFmtId="0" fontId="14" fillId="10" borderId="3" xfId="4" applyFont="1" applyFill="1" applyBorder="1" applyAlignment="1">
      <alignment horizontal="center"/>
    </xf>
    <xf numFmtId="0" fontId="13" fillId="0" borderId="0" xfId="4"/>
    <xf numFmtId="0" fontId="15" fillId="0" borderId="3" xfId="4" applyFont="1" applyBorder="1" applyAlignment="1">
      <alignment horizontal="center"/>
    </xf>
    <xf numFmtId="0" fontId="16" fillId="0" borderId="0" xfId="0" applyFont="1"/>
    <xf numFmtId="0" fontId="0" fillId="0" borderId="2" xfId="0" applyNumberFormat="1" applyBorder="1" applyAlignment="1">
      <alignment horizontal="center"/>
    </xf>
    <xf numFmtId="0" fontId="0" fillId="0" borderId="5" xfId="0" applyBorder="1" applyAlignment="1">
      <alignment horizontal="center"/>
    </xf>
    <xf numFmtId="0" fontId="3" fillId="6" borderId="5" xfId="0" applyFont="1" applyFill="1" applyBorder="1" applyAlignment="1">
      <alignment horizontal="center"/>
    </xf>
    <xf numFmtId="0" fontId="0" fillId="0" borderId="6" xfId="0" applyNumberFormat="1"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8" xfId="0" quotePrefix="1" applyBorder="1" applyAlignment="1">
      <alignment horizontal="center" vertical="center"/>
    </xf>
    <xf numFmtId="0" fontId="0" fillId="0" borderId="9" xfId="0" quotePrefix="1" applyBorder="1" applyAlignment="1">
      <alignment horizontal="center" vertical="center"/>
    </xf>
    <xf numFmtId="0" fontId="0" fillId="0" borderId="4" xfId="0" applyBorder="1" applyAlignment="1">
      <alignment horizontal="center" vertical="center"/>
    </xf>
    <xf numFmtId="7" fontId="0" fillId="0" borderId="0" xfId="0" applyNumberFormat="1" applyAlignment="1">
      <alignment horizontal="center"/>
    </xf>
    <xf numFmtId="0" fontId="0" fillId="0" borderId="1" xfId="0" applyNumberFormat="1" applyBorder="1" applyAlignment="1">
      <alignment horizontal="center"/>
    </xf>
    <xf numFmtId="0" fontId="18" fillId="0" borderId="4" xfId="4" applyFont="1" applyBorder="1" applyAlignment="1">
      <alignment horizontal="center"/>
    </xf>
    <xf numFmtId="0" fontId="0" fillId="0" borderId="10" xfId="0" applyNumberFormat="1" applyBorder="1" applyAlignment="1">
      <alignment horizontal="center"/>
    </xf>
    <xf numFmtId="0" fontId="7" fillId="0" borderId="0" xfId="0" applyFont="1" applyAlignment="1">
      <alignment horizontal="center"/>
    </xf>
    <xf numFmtId="0" fontId="8" fillId="7" borderId="0" xfId="0" applyFont="1" applyFill="1" applyAlignment="1">
      <alignment horizontal="center"/>
    </xf>
    <xf numFmtId="0" fontId="12" fillId="0" borderId="0" xfId="0" applyFont="1" applyAlignment="1">
      <alignment horizontal="center"/>
    </xf>
    <xf numFmtId="0" fontId="0" fillId="0" borderId="7" xfId="0" applyBorder="1" applyAlignment="1">
      <alignment horizontal="center"/>
    </xf>
    <xf numFmtId="0" fontId="0" fillId="0" borderId="9" xfId="0" applyBorder="1" applyAlignment="1">
      <alignment horizontal="center"/>
    </xf>
  </cellXfs>
  <cellStyles count="5">
    <cellStyle name="Millares" xfId="1" builtinId="3"/>
    <cellStyle name="Moneda" xfId="2" builtinId="4"/>
    <cellStyle name="Normal" xfId="0" builtinId="0"/>
    <cellStyle name="Normal 2" xfId="4" xr:uid="{A1F8C037-1467-45FB-833A-D32687AE74F1}"/>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464080</xdr:colOff>
      <xdr:row>3</xdr:row>
      <xdr:rowOff>10584</xdr:rowOff>
    </xdr:to>
    <xdr:pic>
      <xdr:nvPicPr>
        <xdr:cNvPr id="2" name="Imagen 1">
          <a:extLst>
            <a:ext uri="{FF2B5EF4-FFF2-40B4-BE49-F238E27FC236}">
              <a16:creationId xmlns:a16="http://schemas.microsoft.com/office/drawing/2014/main" id="{BAE3F6E4-A125-4948-84D2-F8A33F3FA7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768880" cy="810684"/>
        </a:xfrm>
        <a:prstGeom prst="rect">
          <a:avLst/>
        </a:prstGeom>
      </xdr:spPr>
    </xdr:pic>
    <xdr:clientData/>
  </xdr:twoCellAnchor>
  <xdr:twoCellAnchor editAs="oneCell">
    <xdr:from>
      <xdr:col>5</xdr:col>
      <xdr:colOff>190498</xdr:colOff>
      <xdr:row>9</xdr:row>
      <xdr:rowOff>272144</xdr:rowOff>
    </xdr:from>
    <xdr:to>
      <xdr:col>11</xdr:col>
      <xdr:colOff>95249</xdr:colOff>
      <xdr:row>16</xdr:row>
      <xdr:rowOff>163286</xdr:rowOff>
    </xdr:to>
    <xdr:pic>
      <xdr:nvPicPr>
        <xdr:cNvPr id="3" name="Imagen 2" descr="Exam Preparation: Ten Study Tips | Top Universities">
          <a:extLst>
            <a:ext uri="{FF2B5EF4-FFF2-40B4-BE49-F238E27FC236}">
              <a16:creationId xmlns:a16="http://schemas.microsoft.com/office/drawing/2014/main" id="{5171F648-6FBD-4FB8-8A01-68939D8F09F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37855" y="2680608"/>
          <a:ext cx="4476751" cy="1986642"/>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161925</xdr:colOff>
      <xdr:row>8</xdr:row>
      <xdr:rowOff>123825</xdr:rowOff>
    </xdr:from>
    <xdr:to>
      <xdr:col>3</xdr:col>
      <xdr:colOff>723900</xdr:colOff>
      <xdr:row>12</xdr:row>
      <xdr:rowOff>95250</xdr:rowOff>
    </xdr:to>
    <xdr:sp macro="" textlink="">
      <xdr:nvSpPr>
        <xdr:cNvPr id="2" name="Rectángulo: esquinas redondeadas 1">
          <a:extLst>
            <a:ext uri="{FF2B5EF4-FFF2-40B4-BE49-F238E27FC236}">
              <a16:creationId xmlns:a16="http://schemas.microsoft.com/office/drawing/2014/main" id="{3C42E2CB-3E74-4208-A696-8247BAFB2FB0}"/>
            </a:ext>
          </a:extLst>
        </xdr:cNvPr>
        <xdr:cNvSpPr/>
      </xdr:nvSpPr>
      <xdr:spPr>
        <a:xfrm>
          <a:off x="923925" y="1457325"/>
          <a:ext cx="2095500" cy="733425"/>
        </a:xfrm>
        <a:prstGeom prst="roundRect">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1212273</xdr:colOff>
      <xdr:row>7</xdr:row>
      <xdr:rowOff>121226</xdr:rowOff>
    </xdr:from>
    <xdr:to>
      <xdr:col>9</xdr:col>
      <xdr:colOff>545523</xdr:colOff>
      <xdr:row>17</xdr:row>
      <xdr:rowOff>60614</xdr:rowOff>
    </xdr:to>
    <xdr:sp macro="" textlink="">
      <xdr:nvSpPr>
        <xdr:cNvPr id="3" name="CuadroTexto 2">
          <a:extLst>
            <a:ext uri="{FF2B5EF4-FFF2-40B4-BE49-F238E27FC236}">
              <a16:creationId xmlns:a16="http://schemas.microsoft.com/office/drawing/2014/main" id="{C222C41E-7FF3-4F81-AAD7-51448D683E72}"/>
            </a:ext>
          </a:extLst>
        </xdr:cNvPr>
        <xdr:cNvSpPr txBox="1"/>
      </xdr:nvSpPr>
      <xdr:spPr>
        <a:xfrm>
          <a:off x="5195455" y="1264226"/>
          <a:ext cx="4225636" cy="1844388"/>
        </a:xfrm>
        <a:prstGeom prst="roundRect">
          <a:avLst/>
        </a:prstGeom>
        <a:noFill/>
        <a:ln w="9525" cap="flat" cmpd="sng" algn="ctr">
          <a:solidFill>
            <a:schemeClr val="dk1"/>
          </a:solidFill>
          <a:prstDash val="solid"/>
          <a:round/>
          <a:headEnd type="none" w="med" len="med"/>
          <a:tailEnd type="none" w="med" len="med"/>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200"/>
            <a:t>Generar</a:t>
          </a:r>
          <a:r>
            <a:rPr lang="es-PE" sz="1200" baseline="0"/>
            <a:t> una </a:t>
          </a:r>
          <a:r>
            <a:rPr lang="es-PE" sz="1200" baseline="0">
              <a:solidFill>
                <a:srgbClr val="FF0000"/>
              </a:solidFill>
            </a:rPr>
            <a:t>Función Personalizada </a:t>
          </a:r>
          <a:r>
            <a:rPr lang="es-PE" sz="1200" baseline="0"/>
            <a:t>que pueda calcular la comisión de cada ejecutivo de cuenta según el </a:t>
          </a:r>
          <a:r>
            <a:rPr lang="es-PE" sz="1200" baseline="0">
              <a:solidFill>
                <a:srgbClr val="FF0000"/>
              </a:solidFill>
            </a:rPr>
            <a:t>TIPO VENDEDOR</a:t>
          </a:r>
          <a:r>
            <a:rPr lang="es-PE" sz="1200" baseline="0"/>
            <a:t>. El resultado debe ser igual a lo que  indica la columna F.</a:t>
          </a:r>
        </a:p>
        <a:p>
          <a:r>
            <a:rPr lang="es-PE" sz="1200" baseline="0"/>
            <a:t>Debe generar una función que contenga la estructura If..Else y una función 2 que contenga la estructura Select Case.</a:t>
          </a:r>
        </a:p>
        <a:p>
          <a:endParaRPr lang="es-PE" sz="1200" baseline="0"/>
        </a:p>
        <a:p>
          <a:r>
            <a:rPr lang="es-PE" sz="1050" i="1" baseline="0"/>
            <a:t>Pista: Estructura de Function y toma de decisiones dentro de la función.</a:t>
          </a:r>
        </a:p>
        <a:p>
          <a:endParaRPr lang="es-PE" sz="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438150</xdr:colOff>
      <xdr:row>1</xdr:row>
      <xdr:rowOff>95250</xdr:rowOff>
    </xdr:from>
    <xdr:to>
      <xdr:col>5</xdr:col>
      <xdr:colOff>447675</xdr:colOff>
      <xdr:row>3</xdr:row>
      <xdr:rowOff>180975</xdr:rowOff>
    </xdr:to>
    <xdr:cxnSp macro="">
      <xdr:nvCxnSpPr>
        <xdr:cNvPr id="3" name="Conector recto de flecha 2">
          <a:extLst>
            <a:ext uri="{FF2B5EF4-FFF2-40B4-BE49-F238E27FC236}">
              <a16:creationId xmlns:a16="http://schemas.microsoft.com/office/drawing/2014/main" id="{0CD03D9A-14F7-4CA8-B91B-7CC7A1F9DE73}"/>
            </a:ext>
          </a:extLst>
        </xdr:cNvPr>
        <xdr:cNvCxnSpPr/>
      </xdr:nvCxnSpPr>
      <xdr:spPr>
        <a:xfrm>
          <a:off x="4248150" y="285750"/>
          <a:ext cx="9525" cy="514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5</xdr:row>
      <xdr:rowOff>76200</xdr:rowOff>
    </xdr:from>
    <xdr:to>
      <xdr:col>15</xdr:col>
      <xdr:colOff>472786</xdr:colOff>
      <xdr:row>15</xdr:row>
      <xdr:rowOff>15588</xdr:rowOff>
    </xdr:to>
    <xdr:sp macro="" textlink="">
      <xdr:nvSpPr>
        <xdr:cNvPr id="4" name="CuadroTexto 3">
          <a:extLst>
            <a:ext uri="{FF2B5EF4-FFF2-40B4-BE49-F238E27FC236}">
              <a16:creationId xmlns:a16="http://schemas.microsoft.com/office/drawing/2014/main" id="{A1B0C404-BBCF-43EC-B79B-EEAF6AEE90D0}"/>
            </a:ext>
          </a:extLst>
        </xdr:cNvPr>
        <xdr:cNvSpPr txBox="1"/>
      </xdr:nvSpPr>
      <xdr:spPr>
        <a:xfrm>
          <a:off x="7677150" y="1076325"/>
          <a:ext cx="4225636" cy="1844388"/>
        </a:xfrm>
        <a:prstGeom prst="roundRect">
          <a:avLst/>
        </a:prstGeom>
        <a:noFill/>
        <a:ln w="9525" cap="flat" cmpd="sng" algn="ctr">
          <a:solidFill>
            <a:schemeClr val="dk1"/>
          </a:solidFill>
          <a:prstDash val="solid"/>
          <a:round/>
          <a:headEnd type="none" w="med" len="med"/>
          <a:tailEnd type="none" w="med" len="med"/>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200" baseline="0"/>
            <a:t>Cree una macro que me permita copiar y pegar los datos depurados de la hoja "Datos" a la Hoja "Destino".</a:t>
          </a:r>
        </a:p>
        <a:p>
          <a:r>
            <a:rPr lang="es-PE" sz="1200" baseline="0"/>
            <a:t>Asegurarse que la macro se acomode para cualquier tamaño de la tabla (a nivel de filas).</a:t>
          </a:r>
        </a:p>
        <a:p>
          <a:endParaRPr lang="es-PE" sz="1200" baseline="0">
            <a:solidFill>
              <a:srgbClr val="FF0000"/>
            </a:solidFill>
          </a:endParaRPr>
        </a:p>
        <a:p>
          <a:r>
            <a:rPr lang="es-PE" sz="1050" i="1" baseline="0">
              <a:solidFill>
                <a:srgbClr val="FF0000"/>
              </a:solidFill>
            </a:rPr>
            <a:t>Nota: La macro contiene bucles y se pide que lo realice con la sentencia Do While</a:t>
          </a:r>
        </a:p>
        <a:p>
          <a:endParaRPr lang="es-PE" sz="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433917</xdr:colOff>
      <xdr:row>4</xdr:row>
      <xdr:rowOff>31750</xdr:rowOff>
    </xdr:from>
    <xdr:to>
      <xdr:col>11</xdr:col>
      <xdr:colOff>87553</xdr:colOff>
      <xdr:row>13</xdr:row>
      <xdr:rowOff>161638</xdr:rowOff>
    </xdr:to>
    <xdr:sp macro="" textlink="">
      <xdr:nvSpPr>
        <xdr:cNvPr id="2" name="CuadroTexto 1">
          <a:extLst>
            <a:ext uri="{FF2B5EF4-FFF2-40B4-BE49-F238E27FC236}">
              <a16:creationId xmlns:a16="http://schemas.microsoft.com/office/drawing/2014/main" id="{F8949374-0CF5-4A54-A4FA-FC6F3803B081}"/>
            </a:ext>
          </a:extLst>
        </xdr:cNvPr>
        <xdr:cNvSpPr txBox="1"/>
      </xdr:nvSpPr>
      <xdr:spPr>
        <a:xfrm>
          <a:off x="5725584" y="793750"/>
          <a:ext cx="4225636" cy="1844388"/>
        </a:xfrm>
        <a:prstGeom prst="roundRect">
          <a:avLst/>
        </a:prstGeom>
        <a:noFill/>
        <a:ln w="9525" cap="flat" cmpd="sng" algn="ctr">
          <a:solidFill>
            <a:schemeClr val="dk1"/>
          </a:solidFill>
          <a:prstDash val="solid"/>
          <a:round/>
          <a:headEnd type="none" w="med" len="med"/>
          <a:tailEnd type="none" w="med" len="med"/>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200" baseline="0"/>
            <a:t>Cree una macro que me permita calcular la producción del día por medio de bucles. La idea es que en cada hora tenga detalle del acumulado de pruducción hasta el momento (columna "Acumulado").</a:t>
          </a:r>
        </a:p>
        <a:p>
          <a:endParaRPr lang="es-PE" sz="1200" baseline="0">
            <a:solidFill>
              <a:srgbClr val="FF0000"/>
            </a:solidFill>
          </a:endParaRPr>
        </a:p>
        <a:p>
          <a:r>
            <a:rPr lang="es-PE" sz="1050" i="1" baseline="0">
              <a:solidFill>
                <a:srgbClr val="FF0000"/>
              </a:solidFill>
            </a:rPr>
            <a:t>Nota: Puede escoger cualquier estructura de Bucle.</a:t>
          </a:r>
        </a:p>
        <a:p>
          <a:r>
            <a:rPr lang="es-PE" sz="1050" i="1" baseline="0">
              <a:solidFill>
                <a:srgbClr val="FF0000"/>
              </a:solidFill>
            </a:rPr>
            <a:t>Pista: No es necesario crear una función en este ejercicio, todo se puede resolver con un bucle sencillo que contiene contadores.</a:t>
          </a:r>
        </a:p>
        <a:p>
          <a:endParaRPr lang="es-PE" sz="12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438150</xdr:colOff>
      <xdr:row>2</xdr:row>
      <xdr:rowOff>133350</xdr:rowOff>
    </xdr:from>
    <xdr:to>
      <xdr:col>12</xdr:col>
      <xdr:colOff>381000</xdr:colOff>
      <xdr:row>14</xdr:row>
      <xdr:rowOff>76200</xdr:rowOff>
    </xdr:to>
    <xdr:sp macro="" textlink="">
      <xdr:nvSpPr>
        <xdr:cNvPr id="2" name="CuadroTexto 1">
          <a:extLst>
            <a:ext uri="{FF2B5EF4-FFF2-40B4-BE49-F238E27FC236}">
              <a16:creationId xmlns:a16="http://schemas.microsoft.com/office/drawing/2014/main" id="{0F2ADCAE-D28C-4321-B52B-D093AE62CD80}"/>
            </a:ext>
          </a:extLst>
        </xdr:cNvPr>
        <xdr:cNvSpPr txBox="1"/>
      </xdr:nvSpPr>
      <xdr:spPr>
        <a:xfrm>
          <a:off x="5743575" y="533400"/>
          <a:ext cx="4514850" cy="2343150"/>
        </a:xfrm>
        <a:prstGeom prst="roundRect">
          <a:avLst/>
        </a:prstGeom>
        <a:noFill/>
        <a:ln w="9525" cap="flat" cmpd="sng" algn="ctr">
          <a:solidFill>
            <a:schemeClr val="dk1"/>
          </a:solidFill>
          <a:prstDash val="solid"/>
          <a:round/>
          <a:headEnd type="none" w="med" len="med"/>
          <a:tailEnd type="none" w="med" len="med"/>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200" baseline="0"/>
            <a:t>Cree una macro que me permita derminar la Condición del Pasajero por medio de bucles y condicionales siguiendo la siguiente estructura de casos:</a:t>
          </a:r>
        </a:p>
        <a:p>
          <a:r>
            <a:rPr lang="es-PE" sz="1200" baseline="0">
              <a:solidFill>
                <a:srgbClr val="FF0000"/>
              </a:solidFill>
            </a:rPr>
            <a:t>1) Edad&gt;=18 y Sexo="F" =&gt; "Mayor de Edad Mujer"</a:t>
          </a:r>
        </a:p>
        <a:p>
          <a:r>
            <a:rPr lang="es-PE" sz="1200" baseline="0">
              <a:solidFill>
                <a:srgbClr val="FF0000"/>
              </a:solidFill>
            </a:rPr>
            <a:t>2) Edad&gt;=18 y Sexo="M" =&gt; "Mayor de Edad Hombre"</a:t>
          </a:r>
        </a:p>
        <a:p>
          <a:r>
            <a:rPr lang="es-PE" sz="1200" baseline="0">
              <a:solidFill>
                <a:srgbClr val="FF0000"/>
              </a:solidFill>
            </a:rPr>
            <a:t>3) Edad&lt;18 y Sexo="F" =&gt; "Menor de Edad Niña"</a:t>
          </a:r>
        </a:p>
        <a:p>
          <a:r>
            <a:rPr lang="es-PE" sz="1200" baseline="0">
              <a:solidFill>
                <a:srgbClr val="FF0000"/>
              </a:solidFill>
            </a:rPr>
            <a:t>4) Edad&lt;18 y Sexo="M" =&gt; "Menor de Edad Niño"</a:t>
          </a:r>
        </a:p>
        <a:p>
          <a:endParaRPr lang="es-PE" sz="1200"/>
        </a:p>
        <a:p>
          <a:r>
            <a:rPr lang="es-PE" sz="1050" i="1">
              <a:solidFill>
                <a:srgbClr val="FF0000"/>
              </a:solidFill>
            </a:rPr>
            <a:t>Nota: Libre</a:t>
          </a:r>
          <a:r>
            <a:rPr lang="es-PE" sz="1050" i="1" baseline="0">
              <a:solidFill>
                <a:srgbClr val="FF0000"/>
              </a:solidFill>
            </a:rPr>
            <a:t> a escoger la estructura de Bucle y de condiciones y de Toma de Decisión.</a:t>
          </a:r>
          <a:endParaRPr lang="es-PE" sz="1050" i="1">
            <a:solidFill>
              <a:srgbClr val="FF0000"/>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1DACF-1B40-48CB-92B4-81B743E26C3E}">
  <sheetPr codeName="Hoja1"/>
  <dimension ref="B1:R22"/>
  <sheetViews>
    <sheetView showGridLines="0" zoomScale="70" zoomScaleNormal="70" workbookViewId="0">
      <selection activeCell="G19" sqref="G19"/>
    </sheetView>
  </sheetViews>
  <sheetFormatPr baseColWidth="10" defaultColWidth="0" defaultRowHeight="15" customHeight="1" zeroHeight="1" x14ac:dyDescent="0.25"/>
  <cols>
    <col min="1" max="1" width="4.42578125" customWidth="1"/>
    <col min="2" max="18" width="11.42578125" customWidth="1"/>
  </cols>
  <sheetData>
    <row r="1" spans="2:18" x14ac:dyDescent="0.25">
      <c r="B1" s="1"/>
      <c r="C1" s="1"/>
      <c r="D1" s="1"/>
      <c r="E1" s="1"/>
      <c r="F1" s="1"/>
      <c r="G1" s="1"/>
      <c r="H1" s="1"/>
      <c r="I1" s="1"/>
      <c r="J1" s="1"/>
      <c r="K1" s="1"/>
      <c r="L1" s="1"/>
      <c r="M1" s="1"/>
      <c r="N1" s="1"/>
      <c r="O1" s="1"/>
      <c r="P1" s="1"/>
      <c r="Q1" s="1"/>
      <c r="R1" s="1"/>
    </row>
    <row r="2" spans="2:18" x14ac:dyDescent="0.25">
      <c r="B2" s="1"/>
      <c r="C2" s="1"/>
      <c r="D2" s="1"/>
      <c r="E2" s="1"/>
      <c r="F2" s="1"/>
      <c r="G2" s="1"/>
      <c r="H2" s="1"/>
      <c r="I2" s="1"/>
      <c r="J2" s="1"/>
      <c r="K2" s="1"/>
      <c r="L2" s="1"/>
      <c r="M2" s="1"/>
      <c r="N2" s="1"/>
      <c r="O2" s="1"/>
      <c r="P2" s="1"/>
      <c r="Q2" s="1"/>
      <c r="R2" s="1"/>
    </row>
    <row r="3" spans="2:18" ht="33" customHeight="1" x14ac:dyDescent="0.25">
      <c r="B3" s="1"/>
      <c r="C3" s="1"/>
      <c r="D3" s="1"/>
      <c r="E3" s="1"/>
      <c r="F3" s="1"/>
      <c r="G3" s="1"/>
      <c r="H3" s="1"/>
      <c r="I3" s="1"/>
      <c r="J3" s="1"/>
      <c r="K3" s="1"/>
      <c r="L3" s="1"/>
      <c r="M3" s="1"/>
      <c r="N3" s="1"/>
      <c r="O3" s="1"/>
      <c r="P3" s="1"/>
      <c r="Q3" s="1"/>
      <c r="R3" s="1"/>
    </row>
    <row r="4" spans="2:18" ht="27.75" customHeight="1" x14ac:dyDescent="0.35">
      <c r="B4" s="2" t="s">
        <v>336</v>
      </c>
    </row>
    <row r="5" spans="2:18" ht="27.75" customHeight="1" x14ac:dyDescent="0.35">
      <c r="B5" s="2" t="s">
        <v>3</v>
      </c>
    </row>
    <row r="6" spans="2:18" ht="23.25" x14ac:dyDescent="0.35">
      <c r="B6" s="2"/>
    </row>
    <row r="7" spans="2:18" ht="23.25" x14ac:dyDescent="0.35">
      <c r="B7" s="25" t="s">
        <v>335</v>
      </c>
    </row>
    <row r="8" spans="2:18" ht="23.25" x14ac:dyDescent="0.35">
      <c r="B8" s="2" t="s">
        <v>337</v>
      </c>
    </row>
    <row r="9" spans="2:18" ht="23.25" x14ac:dyDescent="0.35">
      <c r="B9" s="2" t="s">
        <v>4</v>
      </c>
    </row>
    <row r="10" spans="2:18" ht="23.25" x14ac:dyDescent="0.35">
      <c r="B10" s="2"/>
    </row>
    <row r="11" spans="2:18" ht="23.25" x14ac:dyDescent="0.35">
      <c r="B11" s="2"/>
    </row>
    <row r="12" spans="2:18" ht="23.25" x14ac:dyDescent="0.35">
      <c r="B12" s="2"/>
    </row>
    <row r="13" spans="2:18" ht="23.25" x14ac:dyDescent="0.35">
      <c r="B13" s="2"/>
    </row>
    <row r="14" spans="2:18" ht="23.25" x14ac:dyDescent="0.35">
      <c r="B14" s="2"/>
    </row>
    <row r="15" spans="2:18" ht="23.25" x14ac:dyDescent="0.35">
      <c r="B15" s="2"/>
    </row>
    <row r="16" spans="2:18" ht="23.25" x14ac:dyDescent="0.35">
      <c r="B16" s="2"/>
    </row>
    <row r="17" spans="2:2" ht="23.25" x14ac:dyDescent="0.35">
      <c r="B17" s="2"/>
    </row>
    <row r="18" spans="2:2" x14ac:dyDescent="0.25"/>
    <row r="19" spans="2:2" ht="21" x14ac:dyDescent="0.35">
      <c r="B19" s="3" t="s">
        <v>0</v>
      </c>
    </row>
    <row r="20" spans="2:2" ht="21" x14ac:dyDescent="0.35">
      <c r="B20" s="3" t="s">
        <v>1</v>
      </c>
    </row>
    <row r="21" spans="2:2" ht="21" x14ac:dyDescent="0.35">
      <c r="B21" s="3" t="s">
        <v>2</v>
      </c>
    </row>
    <row r="22" spans="2:2" x14ac:dyDescent="0.25"/>
  </sheetData>
  <pageMargins left="0.7" right="0.7" top="0.75" bottom="0.75" header="0.3" footer="0.3"/>
  <pageSetup paperSize="9" orientation="portrait"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4A992-4E6C-4EED-86F8-E07F3334F160}">
  <sheetPr codeName="Hoja2"/>
  <dimension ref="A1:H12"/>
  <sheetViews>
    <sheetView showGridLines="0" zoomScale="110" zoomScaleNormal="110" workbookViewId="0">
      <selection activeCell="H5" sqref="H5"/>
    </sheetView>
  </sheetViews>
  <sheetFormatPr baseColWidth="10" defaultRowHeight="15" x14ac:dyDescent="0.25"/>
  <cols>
    <col min="3" max="3" width="15.5703125" customWidth="1"/>
    <col min="4" max="4" width="13.85546875" bestFit="1" customWidth="1"/>
    <col min="5" max="5" width="28.140625" customWidth="1"/>
    <col min="6" max="6" width="23.42578125" customWidth="1"/>
    <col min="7" max="7" width="18.5703125" customWidth="1"/>
    <col min="8" max="8" width="21.140625" customWidth="1"/>
  </cols>
  <sheetData>
    <row r="1" spans="1:8" x14ac:dyDescent="0.25">
      <c r="A1" s="4" t="s">
        <v>5</v>
      </c>
      <c r="B1" s="4" t="s">
        <v>6</v>
      </c>
      <c r="C1" s="4" t="s">
        <v>7</v>
      </c>
      <c r="D1" s="4" t="s">
        <v>8</v>
      </c>
      <c r="E1" s="4" t="s">
        <v>9</v>
      </c>
      <c r="F1" s="5" t="s">
        <v>10</v>
      </c>
      <c r="G1" s="6" t="s">
        <v>11</v>
      </c>
      <c r="H1" s="7" t="s">
        <v>12</v>
      </c>
    </row>
    <row r="2" spans="1:8" x14ac:dyDescent="0.25">
      <c r="A2" s="8" t="s">
        <v>13</v>
      </c>
      <c r="B2" s="8" t="s">
        <v>14</v>
      </c>
      <c r="C2" s="8">
        <v>1200</v>
      </c>
      <c r="D2" s="8">
        <v>2.5</v>
      </c>
      <c r="E2" s="9">
        <v>500</v>
      </c>
      <c r="F2" s="8" t="str">
        <f>IF(D2=1,(C2+E2)*15%,IF(D2=2,(C2+E2)*25%,IF(D2=3,(C2+E2)*35%,"INVÁLIDO")))</f>
        <v>INVÁLIDO</v>
      </c>
      <c r="G2" s="26" t="str" cm="1">
        <f t="array" ref="G2">Comision_If_Else(C2,D2,E2)</f>
        <v>INVÁLIDO</v>
      </c>
      <c r="H2" s="36" t="str" cm="1">
        <f t="array" ref="H2">+Comision_Case(C2,D2,E2)</f>
        <v>INVÁLIDO</v>
      </c>
    </row>
    <row r="3" spans="1:8" x14ac:dyDescent="0.25">
      <c r="A3" s="8" t="s">
        <v>15</v>
      </c>
      <c r="B3" s="8" t="s">
        <v>16</v>
      </c>
      <c r="C3" s="8">
        <v>1500</v>
      </c>
      <c r="D3" s="8">
        <v>2</v>
      </c>
      <c r="E3" s="9">
        <v>900</v>
      </c>
      <c r="F3" s="8">
        <f t="shared" ref="F3:F5" si="0">IF(D3=1,(C3+E3)*15%,IF(D3=2,(C3+E3)*25%,IF(D3=3,(C3+E3)*35%,"FALSO")))</f>
        <v>600</v>
      </c>
      <c r="G3" s="26" cm="1">
        <f t="array" ref="G3">Comision_If_Else(C3,D3,E3)</f>
        <v>600</v>
      </c>
      <c r="H3" s="36" cm="1">
        <f t="array" ref="H3">+Comision_Case(C3,D3,E3)</f>
        <v>600</v>
      </c>
    </row>
    <row r="4" spans="1:8" x14ac:dyDescent="0.25">
      <c r="A4" s="8" t="s">
        <v>17</v>
      </c>
      <c r="B4" s="8" t="s">
        <v>18</v>
      </c>
      <c r="C4" s="8">
        <v>1800</v>
      </c>
      <c r="D4" s="8">
        <v>2</v>
      </c>
      <c r="E4" s="9">
        <v>250</v>
      </c>
      <c r="F4" s="8">
        <f t="shared" si="0"/>
        <v>512.5</v>
      </c>
      <c r="G4" s="26" cm="1">
        <f t="array" ref="G4">Comision_If_Else(C4,D4,E4)</f>
        <v>512.5</v>
      </c>
      <c r="H4" s="36" cm="1">
        <f t="array" ref="H4">+Comision_Case(C4,D4,E4)</f>
        <v>512.5</v>
      </c>
    </row>
    <row r="5" spans="1:8" ht="15.75" thickBot="1" x14ac:dyDescent="0.3">
      <c r="A5" s="8" t="s">
        <v>19</v>
      </c>
      <c r="B5" s="8" t="s">
        <v>20</v>
      </c>
      <c r="C5" s="27">
        <v>1150</v>
      </c>
      <c r="D5" s="27">
        <v>3</v>
      </c>
      <c r="E5" s="28">
        <v>700</v>
      </c>
      <c r="F5" s="27">
        <f t="shared" si="0"/>
        <v>647.5</v>
      </c>
      <c r="G5" s="29" cm="1">
        <f t="array" ref="G5">Comision_If_Else(C5,D5,E5)</f>
        <v>647.5</v>
      </c>
      <c r="H5" s="38" cm="1">
        <f t="array" ref="H5">+Comision_Case(C5,D5,E5)</f>
        <v>647.5</v>
      </c>
    </row>
    <row r="6" spans="1:8" ht="15.75" thickBot="1" x14ac:dyDescent="0.3">
      <c r="C6" s="30" t="s">
        <v>340</v>
      </c>
      <c r="D6" s="31" t="s">
        <v>341</v>
      </c>
      <c r="E6" s="31" t="s">
        <v>342</v>
      </c>
      <c r="F6" s="31"/>
      <c r="G6" s="32" t="s">
        <v>338</v>
      </c>
      <c r="H6" s="33" t="s">
        <v>339</v>
      </c>
    </row>
    <row r="8" spans="1:8" x14ac:dyDescent="0.25">
      <c r="F8" s="10"/>
      <c r="G8" s="10"/>
    </row>
    <row r="10" spans="1:8" x14ac:dyDescent="0.25">
      <c r="B10" s="39" t="s">
        <v>21</v>
      </c>
      <c r="C10" s="39"/>
      <c r="D10" s="11">
        <v>0.15</v>
      </c>
    </row>
    <row r="11" spans="1:8" x14ac:dyDescent="0.25">
      <c r="B11" s="39" t="s">
        <v>22</v>
      </c>
      <c r="C11" s="39"/>
      <c r="D11" s="11">
        <v>0.25</v>
      </c>
    </row>
    <row r="12" spans="1:8" x14ac:dyDescent="0.25">
      <c r="B12" s="39" t="s">
        <v>23</v>
      </c>
      <c r="C12" s="39"/>
      <c r="D12" s="11">
        <v>0.35</v>
      </c>
    </row>
  </sheetData>
  <mergeCells count="3">
    <mergeCell ref="B10:C10"/>
    <mergeCell ref="B11:C11"/>
    <mergeCell ref="B12:C12"/>
  </mergeCells>
  <phoneticPr fontId="1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87C2B-3962-4CD0-B75E-1CFB0285EB8B}">
  <sheetPr codeName="Hoja3"/>
  <dimension ref="A1:N120"/>
  <sheetViews>
    <sheetView showGridLines="0" zoomScaleNormal="100" workbookViewId="0">
      <selection activeCell="A4" sqref="A4"/>
    </sheetView>
  </sheetViews>
  <sheetFormatPr baseColWidth="10" defaultRowHeight="15" x14ac:dyDescent="0.25"/>
  <sheetData>
    <row r="1" spans="1:14" ht="15.75" x14ac:dyDescent="0.25">
      <c r="A1" s="40" t="s">
        <v>24</v>
      </c>
      <c r="B1" s="40"/>
      <c r="C1" s="40"/>
      <c r="D1" s="40"/>
      <c r="E1" s="40"/>
      <c r="F1" s="40"/>
      <c r="G1" s="40"/>
      <c r="H1" s="40"/>
      <c r="I1" s="40"/>
      <c r="J1" s="40"/>
      <c r="K1" s="40"/>
      <c r="L1" s="40"/>
      <c r="M1" s="40"/>
      <c r="N1" s="40"/>
    </row>
    <row r="3" spans="1:14" x14ac:dyDescent="0.25">
      <c r="A3" s="12" t="s">
        <v>25</v>
      </c>
      <c r="B3" s="12" t="s">
        <v>26</v>
      </c>
      <c r="C3" s="12" t="s">
        <v>27</v>
      </c>
      <c r="D3" s="12" t="s">
        <v>28</v>
      </c>
      <c r="E3" s="12" t="s">
        <v>29</v>
      </c>
      <c r="F3" s="12" t="s">
        <v>30</v>
      </c>
      <c r="G3" s="12" t="s">
        <v>31</v>
      </c>
      <c r="H3" s="12" t="s">
        <v>32</v>
      </c>
      <c r="I3" s="12" t="s">
        <v>33</v>
      </c>
      <c r="J3" s="12" t="s">
        <v>34</v>
      </c>
      <c r="K3" s="12" t="s">
        <v>35</v>
      </c>
      <c r="L3" s="12" t="s">
        <v>36</v>
      </c>
      <c r="M3" s="12" t="s">
        <v>37</v>
      </c>
      <c r="N3" s="12" t="s">
        <v>38</v>
      </c>
    </row>
    <row r="4" spans="1:14" x14ac:dyDescent="0.25">
      <c r="A4" t="s">
        <v>39</v>
      </c>
      <c r="B4" t="s">
        <v>40</v>
      </c>
      <c r="C4" t="s">
        <v>41</v>
      </c>
      <c r="D4" t="s">
        <v>42</v>
      </c>
      <c r="E4" t="s">
        <v>43</v>
      </c>
      <c r="F4" s="13">
        <v>33223</v>
      </c>
      <c r="G4" t="s">
        <v>44</v>
      </c>
      <c r="H4" s="13">
        <v>25125</v>
      </c>
      <c r="I4" s="10" t="s">
        <v>45</v>
      </c>
      <c r="J4" s="10" t="s">
        <v>46</v>
      </c>
      <c r="K4" s="10">
        <v>4</v>
      </c>
      <c r="L4" s="14">
        <v>24180</v>
      </c>
      <c r="M4" s="15">
        <f t="shared" ref="M4:M67" si="0">L4*0.1</f>
        <v>2418</v>
      </c>
      <c r="N4" s="15">
        <f t="shared" ref="N4:N67" si="1">L4+M4</f>
        <v>26598</v>
      </c>
    </row>
    <row r="5" spans="1:14" x14ac:dyDescent="0.25">
      <c r="A5" t="s">
        <v>47</v>
      </c>
      <c r="B5" t="s">
        <v>48</v>
      </c>
      <c r="C5" t="s">
        <v>49</v>
      </c>
      <c r="D5" t="s">
        <v>50</v>
      </c>
      <c r="E5" t="s">
        <v>51</v>
      </c>
      <c r="F5" s="13">
        <v>28523</v>
      </c>
      <c r="G5" t="s">
        <v>52</v>
      </c>
      <c r="H5" s="13">
        <v>20235</v>
      </c>
      <c r="I5" s="10" t="s">
        <v>53</v>
      </c>
      <c r="J5" s="10" t="s">
        <v>46</v>
      </c>
      <c r="K5" s="10">
        <v>2</v>
      </c>
      <c r="L5" s="14">
        <v>97096</v>
      </c>
      <c r="M5" s="15">
        <f t="shared" si="0"/>
        <v>9709.6</v>
      </c>
      <c r="N5" s="15">
        <f t="shared" si="1"/>
        <v>106805.6</v>
      </c>
    </row>
    <row r="6" spans="1:14" x14ac:dyDescent="0.25">
      <c r="A6" t="s">
        <v>47</v>
      </c>
      <c r="B6" t="s">
        <v>54</v>
      </c>
      <c r="C6" t="s">
        <v>55</v>
      </c>
      <c r="D6" t="s">
        <v>56</v>
      </c>
      <c r="E6" t="s">
        <v>57</v>
      </c>
      <c r="F6" s="13">
        <v>31421</v>
      </c>
      <c r="G6" t="s">
        <v>58</v>
      </c>
      <c r="H6" s="13">
        <v>25065</v>
      </c>
      <c r="I6" s="10" t="s">
        <v>53</v>
      </c>
      <c r="J6" s="10" t="s">
        <v>46</v>
      </c>
      <c r="K6" s="10">
        <v>1</v>
      </c>
      <c r="L6" s="14">
        <v>58326</v>
      </c>
      <c r="M6" s="15">
        <f t="shared" si="0"/>
        <v>5832.6</v>
      </c>
      <c r="N6" s="15">
        <f t="shared" si="1"/>
        <v>64158.6</v>
      </c>
    </row>
    <row r="7" spans="1:14" x14ac:dyDescent="0.25">
      <c r="A7" t="s">
        <v>59</v>
      </c>
      <c r="B7" t="s">
        <v>60</v>
      </c>
      <c r="C7" t="s">
        <v>61</v>
      </c>
      <c r="D7" t="s">
        <v>62</v>
      </c>
      <c r="E7" t="s">
        <v>63</v>
      </c>
      <c r="F7" s="13">
        <v>31543</v>
      </c>
      <c r="G7" t="s">
        <v>44</v>
      </c>
      <c r="H7" s="13">
        <v>24491</v>
      </c>
      <c r="I7" s="10" t="s">
        <v>64</v>
      </c>
      <c r="J7" s="10" t="s">
        <v>65</v>
      </c>
      <c r="K7" s="10">
        <v>6</v>
      </c>
      <c r="L7" s="14">
        <v>41053</v>
      </c>
      <c r="M7" s="15">
        <f t="shared" si="0"/>
        <v>4105.3</v>
      </c>
      <c r="N7" s="15">
        <f t="shared" si="1"/>
        <v>45158.3</v>
      </c>
    </row>
    <row r="8" spans="1:14" x14ac:dyDescent="0.25">
      <c r="A8" t="s">
        <v>66</v>
      </c>
      <c r="B8" t="s">
        <v>67</v>
      </c>
      <c r="C8" t="s">
        <v>55</v>
      </c>
      <c r="D8" t="s">
        <v>68</v>
      </c>
      <c r="E8" t="s">
        <v>69</v>
      </c>
      <c r="F8" s="13">
        <v>32356</v>
      </c>
      <c r="G8" t="s">
        <v>70</v>
      </c>
      <c r="H8" s="13">
        <v>22085</v>
      </c>
      <c r="I8" s="10" t="s">
        <v>45</v>
      </c>
      <c r="J8" s="10" t="s">
        <v>65</v>
      </c>
      <c r="K8" s="10">
        <v>4</v>
      </c>
      <c r="L8" s="14">
        <v>33051</v>
      </c>
      <c r="M8" s="15">
        <f t="shared" si="0"/>
        <v>3305.1000000000004</v>
      </c>
      <c r="N8" s="15">
        <f t="shared" si="1"/>
        <v>36356.1</v>
      </c>
    </row>
    <row r="9" spans="1:14" x14ac:dyDescent="0.25">
      <c r="A9" t="s">
        <v>71</v>
      </c>
      <c r="B9" t="s">
        <v>72</v>
      </c>
      <c r="C9" t="s">
        <v>73</v>
      </c>
      <c r="D9" t="s">
        <v>68</v>
      </c>
      <c r="E9" t="s">
        <v>74</v>
      </c>
      <c r="F9" s="13">
        <v>32886</v>
      </c>
      <c r="G9" t="s">
        <v>52</v>
      </c>
      <c r="H9" s="13">
        <v>24049</v>
      </c>
      <c r="I9" s="10" t="s">
        <v>64</v>
      </c>
      <c r="J9" s="10" t="s">
        <v>46</v>
      </c>
      <c r="K9" s="10">
        <v>1</v>
      </c>
      <c r="L9" s="14">
        <v>28044</v>
      </c>
      <c r="M9" s="15">
        <f t="shared" si="0"/>
        <v>2804.4</v>
      </c>
      <c r="N9" s="15">
        <f t="shared" si="1"/>
        <v>30848.400000000001</v>
      </c>
    </row>
    <row r="10" spans="1:14" x14ac:dyDescent="0.25">
      <c r="A10" t="s">
        <v>75</v>
      </c>
      <c r="B10" t="s">
        <v>76</v>
      </c>
      <c r="C10" t="s">
        <v>55</v>
      </c>
      <c r="D10" t="s">
        <v>77</v>
      </c>
      <c r="E10" t="s">
        <v>78</v>
      </c>
      <c r="F10" s="13">
        <v>32032</v>
      </c>
      <c r="G10" t="s">
        <v>79</v>
      </c>
      <c r="H10" s="13">
        <v>22565</v>
      </c>
      <c r="I10" s="10" t="s">
        <v>64</v>
      </c>
      <c r="J10" s="10" t="s">
        <v>65</v>
      </c>
      <c r="K10" s="10">
        <v>1</v>
      </c>
      <c r="L10" s="14">
        <v>47883</v>
      </c>
      <c r="M10" s="15">
        <f t="shared" si="0"/>
        <v>4788.3</v>
      </c>
      <c r="N10" s="15">
        <f t="shared" si="1"/>
        <v>52671.3</v>
      </c>
    </row>
    <row r="11" spans="1:14" x14ac:dyDescent="0.25">
      <c r="A11" t="s">
        <v>80</v>
      </c>
      <c r="B11" t="s">
        <v>81</v>
      </c>
      <c r="C11" t="s">
        <v>73</v>
      </c>
      <c r="D11" t="s">
        <v>82</v>
      </c>
      <c r="E11" t="s">
        <v>43</v>
      </c>
      <c r="F11" s="13">
        <v>32553</v>
      </c>
      <c r="G11" t="s">
        <v>44</v>
      </c>
      <c r="H11" s="13">
        <v>23514</v>
      </c>
      <c r="I11" s="10" t="s">
        <v>53</v>
      </c>
      <c r="J11" s="10" t="s">
        <v>65</v>
      </c>
      <c r="K11" s="10">
        <v>6</v>
      </c>
      <c r="L11" s="14">
        <v>31539</v>
      </c>
      <c r="M11" s="15">
        <f t="shared" si="0"/>
        <v>3153.9</v>
      </c>
      <c r="N11" s="15">
        <f t="shared" si="1"/>
        <v>34692.9</v>
      </c>
    </row>
    <row r="12" spans="1:14" x14ac:dyDescent="0.25">
      <c r="A12" t="s">
        <v>83</v>
      </c>
      <c r="B12" t="s">
        <v>84</v>
      </c>
      <c r="C12" t="s">
        <v>55</v>
      </c>
      <c r="D12" t="s">
        <v>85</v>
      </c>
      <c r="E12" t="s">
        <v>57</v>
      </c>
      <c r="F12" s="13">
        <v>31965</v>
      </c>
      <c r="G12" t="s">
        <v>86</v>
      </c>
      <c r="H12" s="13">
        <v>20400</v>
      </c>
      <c r="I12" s="10" t="s">
        <v>45</v>
      </c>
      <c r="J12" s="10" t="s">
        <v>65</v>
      </c>
      <c r="K12" s="10">
        <v>1</v>
      </c>
      <c r="L12" s="14">
        <v>56177</v>
      </c>
      <c r="M12" s="15">
        <f t="shared" si="0"/>
        <v>5617.7000000000007</v>
      </c>
      <c r="N12" s="15">
        <f t="shared" si="1"/>
        <v>61794.7</v>
      </c>
    </row>
    <row r="13" spans="1:14" x14ac:dyDescent="0.25">
      <c r="A13" t="s">
        <v>87</v>
      </c>
      <c r="B13" t="s">
        <v>88</v>
      </c>
      <c r="C13" t="s">
        <v>49</v>
      </c>
      <c r="D13" t="s">
        <v>42</v>
      </c>
      <c r="E13" t="s">
        <v>57</v>
      </c>
      <c r="F13" s="13">
        <v>30900</v>
      </c>
      <c r="G13" t="s">
        <v>70</v>
      </c>
      <c r="H13" s="13">
        <v>20360</v>
      </c>
      <c r="I13" s="10" t="s">
        <v>89</v>
      </c>
      <c r="J13" s="10" t="s">
        <v>46</v>
      </c>
      <c r="K13" s="10">
        <v>1</v>
      </c>
      <c r="L13" s="14">
        <v>27081</v>
      </c>
      <c r="M13" s="15">
        <f t="shared" si="0"/>
        <v>2708.1000000000004</v>
      </c>
      <c r="N13" s="15">
        <f t="shared" si="1"/>
        <v>29789.1</v>
      </c>
    </row>
    <row r="14" spans="1:14" x14ac:dyDescent="0.25">
      <c r="A14" t="s">
        <v>90</v>
      </c>
      <c r="B14" t="s">
        <v>91</v>
      </c>
      <c r="C14" t="s">
        <v>55</v>
      </c>
      <c r="D14" t="s">
        <v>92</v>
      </c>
      <c r="E14" t="s">
        <v>93</v>
      </c>
      <c r="F14" s="13">
        <v>31751</v>
      </c>
      <c r="G14" t="s">
        <v>44</v>
      </c>
      <c r="H14" s="13">
        <v>22336</v>
      </c>
      <c r="I14" s="10" t="s">
        <v>53</v>
      </c>
      <c r="J14" s="10" t="s">
        <v>65</v>
      </c>
      <c r="K14" s="10">
        <v>1</v>
      </c>
      <c r="L14" s="14">
        <v>28405</v>
      </c>
      <c r="M14" s="15">
        <f t="shared" si="0"/>
        <v>2840.5</v>
      </c>
      <c r="N14" s="15">
        <f t="shared" si="1"/>
        <v>31245.5</v>
      </c>
    </row>
    <row r="15" spans="1:14" x14ac:dyDescent="0.25">
      <c r="A15" t="s">
        <v>94</v>
      </c>
      <c r="B15" t="s">
        <v>95</v>
      </c>
      <c r="C15" t="s">
        <v>61</v>
      </c>
      <c r="D15" t="s">
        <v>96</v>
      </c>
      <c r="E15" t="s">
        <v>97</v>
      </c>
      <c r="F15" s="13">
        <v>30204</v>
      </c>
      <c r="G15" t="s">
        <v>79</v>
      </c>
      <c r="H15" s="13">
        <v>21399</v>
      </c>
      <c r="I15" s="10" t="s">
        <v>53</v>
      </c>
      <c r="J15" s="10" t="s">
        <v>46</v>
      </c>
      <c r="K15" s="10">
        <v>1</v>
      </c>
      <c r="L15" s="14">
        <v>59455</v>
      </c>
      <c r="M15" s="15">
        <f t="shared" si="0"/>
        <v>5945.5</v>
      </c>
      <c r="N15" s="15">
        <f t="shared" si="1"/>
        <v>65400.5</v>
      </c>
    </row>
    <row r="16" spans="1:14" x14ac:dyDescent="0.25">
      <c r="A16" t="s">
        <v>98</v>
      </c>
      <c r="B16" t="s">
        <v>99</v>
      </c>
      <c r="C16" t="s">
        <v>73</v>
      </c>
      <c r="D16" t="s">
        <v>82</v>
      </c>
      <c r="E16" t="s">
        <v>69</v>
      </c>
      <c r="F16" s="13">
        <v>32331</v>
      </c>
      <c r="G16" t="s">
        <v>86</v>
      </c>
      <c r="H16" s="13">
        <v>22067</v>
      </c>
      <c r="I16" s="10" t="s">
        <v>45</v>
      </c>
      <c r="J16" s="10" t="s">
        <v>46</v>
      </c>
      <c r="K16" s="10">
        <v>3</v>
      </c>
      <c r="L16" s="14">
        <v>35889</v>
      </c>
      <c r="M16" s="15">
        <f t="shared" si="0"/>
        <v>3588.9</v>
      </c>
      <c r="N16" s="15">
        <f t="shared" si="1"/>
        <v>39477.9</v>
      </c>
    </row>
    <row r="17" spans="1:14" x14ac:dyDescent="0.25">
      <c r="A17" t="s">
        <v>100</v>
      </c>
      <c r="B17" t="s">
        <v>101</v>
      </c>
      <c r="C17" t="s">
        <v>55</v>
      </c>
      <c r="D17" t="s">
        <v>102</v>
      </c>
      <c r="E17" t="s">
        <v>78</v>
      </c>
      <c r="F17" s="13">
        <v>30892</v>
      </c>
      <c r="G17" t="s">
        <v>86</v>
      </c>
      <c r="H17" s="13">
        <v>20276</v>
      </c>
      <c r="I17" s="10" t="s">
        <v>89</v>
      </c>
      <c r="J17" s="10" t="s">
        <v>46</v>
      </c>
      <c r="K17" s="10">
        <v>0</v>
      </c>
      <c r="L17" s="14">
        <v>79280</v>
      </c>
      <c r="M17" s="15">
        <f t="shared" si="0"/>
        <v>7928</v>
      </c>
      <c r="N17" s="15">
        <f t="shared" si="1"/>
        <v>87208</v>
      </c>
    </row>
    <row r="18" spans="1:14" x14ac:dyDescent="0.25">
      <c r="A18" t="s">
        <v>103</v>
      </c>
      <c r="B18" t="s">
        <v>104</v>
      </c>
      <c r="C18" t="s">
        <v>55</v>
      </c>
      <c r="D18" t="s">
        <v>105</v>
      </c>
      <c r="E18" t="s">
        <v>63</v>
      </c>
      <c r="F18" s="13">
        <v>29066</v>
      </c>
      <c r="G18" t="s">
        <v>86</v>
      </c>
      <c r="H18" s="13">
        <v>14862</v>
      </c>
      <c r="I18" s="10" t="s">
        <v>64</v>
      </c>
      <c r="J18" s="10" t="s">
        <v>46</v>
      </c>
      <c r="K18" s="10">
        <v>0</v>
      </c>
      <c r="L18" s="14">
        <v>105753</v>
      </c>
      <c r="M18" s="15">
        <f t="shared" si="0"/>
        <v>10575.300000000001</v>
      </c>
      <c r="N18" s="15">
        <f t="shared" si="1"/>
        <v>116328.3</v>
      </c>
    </row>
    <row r="19" spans="1:14" x14ac:dyDescent="0.25">
      <c r="A19" t="s">
        <v>106</v>
      </c>
      <c r="B19" t="s">
        <v>107</v>
      </c>
      <c r="C19" t="s">
        <v>55</v>
      </c>
      <c r="D19" t="s">
        <v>108</v>
      </c>
      <c r="E19" t="s">
        <v>93</v>
      </c>
      <c r="F19" s="13">
        <v>30939</v>
      </c>
      <c r="G19" t="s">
        <v>79</v>
      </c>
      <c r="H19" s="13">
        <v>19961</v>
      </c>
      <c r="I19" s="10" t="s">
        <v>45</v>
      </c>
      <c r="J19" s="10" t="s">
        <v>46</v>
      </c>
      <c r="K19" s="10">
        <v>2</v>
      </c>
      <c r="L19" s="14">
        <v>40897</v>
      </c>
      <c r="M19" s="15">
        <f t="shared" si="0"/>
        <v>4089.7000000000003</v>
      </c>
      <c r="N19" s="15">
        <f t="shared" si="1"/>
        <v>44986.7</v>
      </c>
    </row>
    <row r="20" spans="1:14" x14ac:dyDescent="0.25">
      <c r="A20" t="s">
        <v>109</v>
      </c>
      <c r="B20" t="s">
        <v>110</v>
      </c>
      <c r="C20" t="s">
        <v>41</v>
      </c>
      <c r="D20" t="s">
        <v>42</v>
      </c>
      <c r="E20" t="s">
        <v>111</v>
      </c>
      <c r="F20" s="13">
        <v>31042</v>
      </c>
      <c r="G20" t="s">
        <v>44</v>
      </c>
      <c r="H20" s="13">
        <v>20559</v>
      </c>
      <c r="I20" s="10" t="s">
        <v>45</v>
      </c>
      <c r="J20" s="10" t="s">
        <v>46</v>
      </c>
      <c r="K20" s="10">
        <v>2</v>
      </c>
      <c r="L20" s="14">
        <v>35786</v>
      </c>
      <c r="M20" s="15">
        <f t="shared" si="0"/>
        <v>3578.6000000000004</v>
      </c>
      <c r="N20" s="15">
        <f t="shared" si="1"/>
        <v>39364.6</v>
      </c>
    </row>
    <row r="21" spans="1:14" x14ac:dyDescent="0.25">
      <c r="A21" t="s">
        <v>112</v>
      </c>
      <c r="B21" t="s">
        <v>113</v>
      </c>
      <c r="C21" t="s">
        <v>49</v>
      </c>
      <c r="D21" t="s">
        <v>114</v>
      </c>
      <c r="E21" t="s">
        <v>115</v>
      </c>
      <c r="F21" s="13">
        <v>29871</v>
      </c>
      <c r="G21" t="s">
        <v>116</v>
      </c>
      <c r="H21" s="13">
        <v>18685</v>
      </c>
      <c r="I21" s="10" t="s">
        <v>64</v>
      </c>
      <c r="J21" s="10" t="s">
        <v>65</v>
      </c>
      <c r="K21" s="10">
        <v>5</v>
      </c>
      <c r="L21" s="14">
        <v>62981</v>
      </c>
      <c r="M21" s="15">
        <f t="shared" si="0"/>
        <v>6298.1</v>
      </c>
      <c r="N21" s="15">
        <f t="shared" si="1"/>
        <v>69279.100000000006</v>
      </c>
    </row>
    <row r="22" spans="1:14" x14ac:dyDescent="0.25">
      <c r="A22" t="s">
        <v>117</v>
      </c>
      <c r="B22" t="s">
        <v>118</v>
      </c>
      <c r="C22" t="s">
        <v>55</v>
      </c>
      <c r="D22" t="s">
        <v>102</v>
      </c>
      <c r="E22" t="s">
        <v>78</v>
      </c>
      <c r="F22" s="13">
        <v>29276</v>
      </c>
      <c r="G22" t="s">
        <v>119</v>
      </c>
      <c r="H22" s="13">
        <v>21790</v>
      </c>
      <c r="I22" s="10" t="s">
        <v>53</v>
      </c>
      <c r="J22" s="10" t="s">
        <v>65</v>
      </c>
      <c r="K22" s="10">
        <v>1</v>
      </c>
      <c r="L22" s="14">
        <v>70935</v>
      </c>
      <c r="M22" s="15">
        <f t="shared" si="0"/>
        <v>7093.5</v>
      </c>
      <c r="N22" s="15">
        <f t="shared" si="1"/>
        <v>78028.5</v>
      </c>
    </row>
    <row r="23" spans="1:14" x14ac:dyDescent="0.25">
      <c r="A23" t="s">
        <v>120</v>
      </c>
      <c r="B23" t="s">
        <v>121</v>
      </c>
      <c r="C23" t="s">
        <v>41</v>
      </c>
      <c r="D23" t="s">
        <v>42</v>
      </c>
      <c r="E23" t="s">
        <v>122</v>
      </c>
      <c r="F23" s="13">
        <v>33551</v>
      </c>
      <c r="G23" t="s">
        <v>123</v>
      </c>
      <c r="H23" s="13">
        <v>26444</v>
      </c>
      <c r="I23" s="10" t="s">
        <v>89</v>
      </c>
      <c r="J23" s="10" t="s">
        <v>65</v>
      </c>
      <c r="K23" s="10">
        <v>2</v>
      </c>
      <c r="L23" s="14">
        <v>23212</v>
      </c>
      <c r="M23" s="15">
        <f t="shared" si="0"/>
        <v>2321.2000000000003</v>
      </c>
      <c r="N23" s="15">
        <f t="shared" si="1"/>
        <v>25533.200000000001</v>
      </c>
    </row>
    <row r="24" spans="1:14" x14ac:dyDescent="0.25">
      <c r="A24" t="s">
        <v>124</v>
      </c>
      <c r="B24" t="s">
        <v>125</v>
      </c>
      <c r="C24" t="s">
        <v>55</v>
      </c>
      <c r="D24" t="s">
        <v>77</v>
      </c>
      <c r="E24" t="s">
        <v>126</v>
      </c>
      <c r="F24" s="13">
        <v>30967</v>
      </c>
      <c r="G24" t="s">
        <v>116</v>
      </c>
      <c r="H24" s="13">
        <v>14626</v>
      </c>
      <c r="I24" s="10" t="s">
        <v>53</v>
      </c>
      <c r="J24" s="10" t="s">
        <v>65</v>
      </c>
      <c r="K24" s="10">
        <v>1</v>
      </c>
      <c r="L24" s="14">
        <v>79307</v>
      </c>
      <c r="M24" s="15">
        <f t="shared" si="0"/>
        <v>7930.7000000000007</v>
      </c>
      <c r="N24" s="15">
        <f t="shared" si="1"/>
        <v>87237.7</v>
      </c>
    </row>
    <row r="25" spans="1:14" x14ac:dyDescent="0.25">
      <c r="A25" t="s">
        <v>127</v>
      </c>
      <c r="B25" t="s">
        <v>128</v>
      </c>
      <c r="C25" t="s">
        <v>49</v>
      </c>
      <c r="D25" t="s">
        <v>129</v>
      </c>
      <c r="E25" t="s">
        <v>130</v>
      </c>
      <c r="F25" s="13">
        <v>30054</v>
      </c>
      <c r="G25" t="s">
        <v>131</v>
      </c>
      <c r="H25" s="13">
        <v>18888</v>
      </c>
      <c r="I25" s="10" t="s">
        <v>45</v>
      </c>
      <c r="J25" s="10" t="s">
        <v>46</v>
      </c>
      <c r="K25" s="10">
        <v>3</v>
      </c>
      <c r="L25" s="14">
        <v>58278</v>
      </c>
      <c r="M25" s="15">
        <f t="shared" si="0"/>
        <v>5827.8</v>
      </c>
      <c r="N25" s="15">
        <f t="shared" si="1"/>
        <v>64105.8</v>
      </c>
    </row>
    <row r="26" spans="1:14" x14ac:dyDescent="0.25">
      <c r="A26" t="s">
        <v>132</v>
      </c>
      <c r="B26" t="s">
        <v>133</v>
      </c>
      <c r="C26" t="s">
        <v>61</v>
      </c>
      <c r="D26" t="s">
        <v>108</v>
      </c>
      <c r="E26" t="s">
        <v>69</v>
      </c>
      <c r="F26" s="13">
        <v>32346</v>
      </c>
      <c r="G26" t="s">
        <v>86</v>
      </c>
      <c r="H26" s="13">
        <v>22089</v>
      </c>
      <c r="I26" s="10" t="s">
        <v>89</v>
      </c>
      <c r="J26" s="10" t="s">
        <v>65</v>
      </c>
      <c r="K26" s="10">
        <v>1</v>
      </c>
      <c r="L26" s="14">
        <v>34605</v>
      </c>
      <c r="M26" s="15">
        <f t="shared" si="0"/>
        <v>3460.5</v>
      </c>
      <c r="N26" s="15">
        <f t="shared" si="1"/>
        <v>38065.5</v>
      </c>
    </row>
    <row r="27" spans="1:14" x14ac:dyDescent="0.25">
      <c r="A27" t="s">
        <v>134</v>
      </c>
      <c r="B27" t="s">
        <v>135</v>
      </c>
      <c r="C27" t="s">
        <v>55</v>
      </c>
      <c r="D27" t="s">
        <v>92</v>
      </c>
      <c r="E27" t="s">
        <v>126</v>
      </c>
      <c r="F27" s="13">
        <v>32571</v>
      </c>
      <c r="G27" t="s">
        <v>131</v>
      </c>
      <c r="H27" s="13">
        <v>25432</v>
      </c>
      <c r="I27" s="10" t="s">
        <v>64</v>
      </c>
      <c r="J27" s="10" t="s">
        <v>46</v>
      </c>
      <c r="K27" s="10">
        <v>5</v>
      </c>
      <c r="L27" s="14">
        <v>21304</v>
      </c>
      <c r="M27" s="15">
        <f t="shared" si="0"/>
        <v>2130.4</v>
      </c>
      <c r="N27" s="15">
        <f t="shared" si="1"/>
        <v>23434.400000000001</v>
      </c>
    </row>
    <row r="28" spans="1:14" x14ac:dyDescent="0.25">
      <c r="A28" t="s">
        <v>136</v>
      </c>
      <c r="B28" t="s">
        <v>137</v>
      </c>
      <c r="C28" t="s">
        <v>61</v>
      </c>
      <c r="D28" t="s">
        <v>68</v>
      </c>
      <c r="E28" t="s">
        <v>69</v>
      </c>
      <c r="F28" s="13">
        <v>32971</v>
      </c>
      <c r="G28" t="s">
        <v>123</v>
      </c>
      <c r="H28" s="13">
        <v>22901</v>
      </c>
      <c r="I28" s="10" t="s">
        <v>89</v>
      </c>
      <c r="J28" s="10" t="s">
        <v>46</v>
      </c>
      <c r="K28" s="10">
        <v>0</v>
      </c>
      <c r="L28" s="14">
        <v>31048</v>
      </c>
      <c r="M28" s="15">
        <f t="shared" si="0"/>
        <v>3104.8</v>
      </c>
      <c r="N28" s="15">
        <f t="shared" si="1"/>
        <v>34152.800000000003</v>
      </c>
    </row>
    <row r="29" spans="1:14" x14ac:dyDescent="0.25">
      <c r="A29" t="s">
        <v>138</v>
      </c>
      <c r="B29" t="s">
        <v>139</v>
      </c>
      <c r="C29" t="s">
        <v>61</v>
      </c>
      <c r="D29" t="s">
        <v>96</v>
      </c>
      <c r="E29" t="s">
        <v>140</v>
      </c>
      <c r="F29" s="13">
        <v>28368</v>
      </c>
      <c r="G29" t="s">
        <v>70</v>
      </c>
      <c r="H29" s="13">
        <v>21263</v>
      </c>
      <c r="I29" s="10" t="s">
        <v>89</v>
      </c>
      <c r="J29" s="10" t="s">
        <v>46</v>
      </c>
      <c r="K29" s="10">
        <v>1</v>
      </c>
      <c r="L29" s="14">
        <v>59455</v>
      </c>
      <c r="M29" s="15">
        <f t="shared" si="0"/>
        <v>5945.5</v>
      </c>
      <c r="N29" s="15">
        <f t="shared" si="1"/>
        <v>65400.5</v>
      </c>
    </row>
    <row r="30" spans="1:14" x14ac:dyDescent="0.25">
      <c r="A30" t="s">
        <v>141</v>
      </c>
      <c r="B30" t="s">
        <v>142</v>
      </c>
      <c r="C30" t="s">
        <v>55</v>
      </c>
      <c r="D30" t="s">
        <v>85</v>
      </c>
      <c r="E30" t="s">
        <v>97</v>
      </c>
      <c r="F30" s="13">
        <v>32300</v>
      </c>
      <c r="G30" t="s">
        <v>143</v>
      </c>
      <c r="H30" s="13">
        <v>23298</v>
      </c>
      <c r="I30" s="10" t="s">
        <v>53</v>
      </c>
      <c r="J30" s="10" t="s">
        <v>46</v>
      </c>
      <c r="K30" s="10">
        <v>3</v>
      </c>
      <c r="L30" s="14">
        <v>44351</v>
      </c>
      <c r="M30" s="15">
        <f t="shared" si="0"/>
        <v>4435.1000000000004</v>
      </c>
      <c r="N30" s="15">
        <f t="shared" si="1"/>
        <v>48786.1</v>
      </c>
    </row>
    <row r="31" spans="1:14" x14ac:dyDescent="0.25">
      <c r="A31" t="s">
        <v>144</v>
      </c>
      <c r="B31" t="s">
        <v>145</v>
      </c>
      <c r="C31" t="s">
        <v>55</v>
      </c>
      <c r="D31" t="s">
        <v>85</v>
      </c>
      <c r="E31" t="s">
        <v>43</v>
      </c>
      <c r="F31" s="13">
        <v>32205</v>
      </c>
      <c r="G31" t="s">
        <v>146</v>
      </c>
      <c r="H31" s="13">
        <v>20280</v>
      </c>
      <c r="I31" s="10" t="s">
        <v>53</v>
      </c>
      <c r="J31" s="10" t="s">
        <v>46</v>
      </c>
      <c r="K31" s="10">
        <v>6</v>
      </c>
      <c r="L31" s="14">
        <v>56177</v>
      </c>
      <c r="M31" s="15">
        <f t="shared" si="0"/>
        <v>5617.7000000000007</v>
      </c>
      <c r="N31" s="15">
        <f t="shared" si="1"/>
        <v>61794.7</v>
      </c>
    </row>
    <row r="32" spans="1:14" x14ac:dyDescent="0.25">
      <c r="A32" t="s">
        <v>147</v>
      </c>
      <c r="B32" t="s">
        <v>148</v>
      </c>
      <c r="C32" t="s">
        <v>149</v>
      </c>
      <c r="D32" t="s">
        <v>150</v>
      </c>
      <c r="E32" t="s">
        <v>126</v>
      </c>
      <c r="F32" s="13">
        <v>30975</v>
      </c>
      <c r="G32" t="s">
        <v>116</v>
      </c>
      <c r="H32" s="13">
        <v>21920</v>
      </c>
      <c r="I32" s="10" t="s">
        <v>89</v>
      </c>
      <c r="J32" s="10" t="s">
        <v>46</v>
      </c>
      <c r="K32" s="10">
        <v>4</v>
      </c>
      <c r="L32" s="14">
        <v>38094</v>
      </c>
      <c r="M32" s="15">
        <f t="shared" si="0"/>
        <v>3809.4</v>
      </c>
      <c r="N32" s="15">
        <f t="shared" si="1"/>
        <v>41903.4</v>
      </c>
    </row>
    <row r="33" spans="1:14" x14ac:dyDescent="0.25">
      <c r="A33" t="s">
        <v>151</v>
      </c>
      <c r="B33" t="s">
        <v>152</v>
      </c>
      <c r="C33" t="s">
        <v>149</v>
      </c>
      <c r="D33" t="s">
        <v>150</v>
      </c>
      <c r="E33" t="s">
        <v>140</v>
      </c>
      <c r="F33" s="13">
        <v>33231</v>
      </c>
      <c r="G33" t="s">
        <v>44</v>
      </c>
      <c r="H33" s="13">
        <v>25114</v>
      </c>
      <c r="I33" s="10" t="s">
        <v>53</v>
      </c>
      <c r="J33" s="10" t="s">
        <v>65</v>
      </c>
      <c r="K33" s="10">
        <v>3</v>
      </c>
      <c r="L33" s="14">
        <v>28859</v>
      </c>
      <c r="M33" s="15">
        <f t="shared" si="0"/>
        <v>2885.9</v>
      </c>
      <c r="N33" s="15">
        <f t="shared" si="1"/>
        <v>31744.9</v>
      </c>
    </row>
    <row r="34" spans="1:14" x14ac:dyDescent="0.25">
      <c r="A34" t="s">
        <v>153</v>
      </c>
      <c r="B34" t="s">
        <v>154</v>
      </c>
      <c r="C34" t="s">
        <v>73</v>
      </c>
      <c r="D34" t="s">
        <v>82</v>
      </c>
      <c r="E34" t="s">
        <v>43</v>
      </c>
      <c r="F34" s="13">
        <v>32671</v>
      </c>
      <c r="G34" t="s">
        <v>143</v>
      </c>
      <c r="H34" s="13">
        <v>18057</v>
      </c>
      <c r="I34" s="10" t="s">
        <v>64</v>
      </c>
      <c r="J34" s="10" t="s">
        <v>65</v>
      </c>
      <c r="K34" s="10">
        <v>0</v>
      </c>
      <c r="L34" s="14">
        <v>47853</v>
      </c>
      <c r="M34" s="15">
        <f t="shared" si="0"/>
        <v>4785.3</v>
      </c>
      <c r="N34" s="15">
        <f t="shared" si="1"/>
        <v>52638.3</v>
      </c>
    </row>
    <row r="35" spans="1:14" x14ac:dyDescent="0.25">
      <c r="A35" t="s">
        <v>153</v>
      </c>
      <c r="B35" t="s">
        <v>91</v>
      </c>
      <c r="C35" t="s">
        <v>55</v>
      </c>
      <c r="D35" t="s">
        <v>108</v>
      </c>
      <c r="E35" t="s">
        <v>63</v>
      </c>
      <c r="F35" s="13">
        <v>31689</v>
      </c>
      <c r="G35" t="s">
        <v>116</v>
      </c>
      <c r="H35" s="13">
        <v>23683</v>
      </c>
      <c r="I35" s="10" t="s">
        <v>89</v>
      </c>
      <c r="J35" s="10" t="s">
        <v>65</v>
      </c>
      <c r="K35" s="10">
        <v>0</v>
      </c>
      <c r="L35" s="14">
        <v>30411</v>
      </c>
      <c r="M35" s="15">
        <f t="shared" si="0"/>
        <v>3041.1000000000004</v>
      </c>
      <c r="N35" s="15">
        <f t="shared" si="1"/>
        <v>33452.1</v>
      </c>
    </row>
    <row r="36" spans="1:14" x14ac:dyDescent="0.25">
      <c r="A36" t="s">
        <v>153</v>
      </c>
      <c r="B36" t="s">
        <v>139</v>
      </c>
      <c r="C36" t="s">
        <v>41</v>
      </c>
      <c r="D36" t="s">
        <v>42</v>
      </c>
      <c r="E36" t="s">
        <v>155</v>
      </c>
      <c r="F36" s="13">
        <v>31495</v>
      </c>
      <c r="G36" t="s">
        <v>70</v>
      </c>
      <c r="H36" s="13">
        <v>22982</v>
      </c>
      <c r="I36" s="10" t="s">
        <v>45</v>
      </c>
      <c r="J36" s="10" t="s">
        <v>65</v>
      </c>
      <c r="K36" s="10">
        <v>0</v>
      </c>
      <c r="L36" s="14">
        <v>29983</v>
      </c>
      <c r="M36" s="15">
        <f t="shared" si="0"/>
        <v>2998.3</v>
      </c>
      <c r="N36" s="15">
        <f t="shared" si="1"/>
        <v>32981.300000000003</v>
      </c>
    </row>
    <row r="37" spans="1:14" x14ac:dyDescent="0.25">
      <c r="A37" t="s">
        <v>156</v>
      </c>
      <c r="B37" t="s">
        <v>157</v>
      </c>
      <c r="C37" t="s">
        <v>61</v>
      </c>
      <c r="D37" t="s">
        <v>62</v>
      </c>
      <c r="E37" t="s">
        <v>115</v>
      </c>
      <c r="F37" s="13">
        <v>32087</v>
      </c>
      <c r="G37" t="s">
        <v>123</v>
      </c>
      <c r="H37" s="13">
        <v>25462</v>
      </c>
      <c r="I37" s="10" t="s">
        <v>89</v>
      </c>
      <c r="J37" s="10" t="s">
        <v>46</v>
      </c>
      <c r="K37" s="10">
        <v>5</v>
      </c>
      <c r="L37" s="14">
        <v>37896</v>
      </c>
      <c r="M37" s="15">
        <f t="shared" si="0"/>
        <v>3789.6000000000004</v>
      </c>
      <c r="N37" s="15">
        <f t="shared" si="1"/>
        <v>41685.599999999999</v>
      </c>
    </row>
    <row r="38" spans="1:14" x14ac:dyDescent="0.25">
      <c r="A38" t="s">
        <v>158</v>
      </c>
      <c r="B38" t="s">
        <v>159</v>
      </c>
      <c r="C38" t="s">
        <v>49</v>
      </c>
      <c r="D38" t="s">
        <v>114</v>
      </c>
      <c r="E38" t="s">
        <v>93</v>
      </c>
      <c r="F38" s="13">
        <v>30240</v>
      </c>
      <c r="G38" t="s">
        <v>116</v>
      </c>
      <c r="H38" s="13">
        <v>24011</v>
      </c>
      <c r="I38" s="10" t="s">
        <v>64</v>
      </c>
      <c r="J38" s="10" t="s">
        <v>65</v>
      </c>
      <c r="K38" s="10">
        <v>3</v>
      </c>
      <c r="L38" s="14">
        <v>41987</v>
      </c>
      <c r="M38" s="15">
        <f t="shared" si="0"/>
        <v>4198.7</v>
      </c>
      <c r="N38" s="15">
        <f t="shared" si="1"/>
        <v>46185.7</v>
      </c>
    </row>
    <row r="39" spans="1:14" x14ac:dyDescent="0.25">
      <c r="A39" t="s">
        <v>160</v>
      </c>
      <c r="B39" t="s">
        <v>161</v>
      </c>
      <c r="C39" t="s">
        <v>61</v>
      </c>
      <c r="D39" t="s">
        <v>62</v>
      </c>
      <c r="E39" t="s">
        <v>140</v>
      </c>
      <c r="F39" s="13">
        <v>32108</v>
      </c>
      <c r="G39" t="s">
        <v>123</v>
      </c>
      <c r="H39" s="13">
        <v>21693</v>
      </c>
      <c r="I39" s="10" t="s">
        <v>45</v>
      </c>
      <c r="J39" s="10" t="s">
        <v>46</v>
      </c>
      <c r="K39" s="10">
        <v>0</v>
      </c>
      <c r="L39" s="14">
        <v>53685</v>
      </c>
      <c r="M39" s="15">
        <f t="shared" si="0"/>
        <v>5368.5</v>
      </c>
      <c r="N39" s="15">
        <f t="shared" si="1"/>
        <v>59053.5</v>
      </c>
    </row>
    <row r="40" spans="1:14" x14ac:dyDescent="0.25">
      <c r="A40" t="s">
        <v>162</v>
      </c>
      <c r="B40" t="s">
        <v>121</v>
      </c>
      <c r="C40" t="s">
        <v>49</v>
      </c>
      <c r="D40" t="s">
        <v>129</v>
      </c>
      <c r="E40" t="s">
        <v>140</v>
      </c>
      <c r="F40" s="13">
        <v>30054</v>
      </c>
      <c r="G40" t="s">
        <v>143</v>
      </c>
      <c r="H40" s="13">
        <v>25338</v>
      </c>
      <c r="I40" s="10" t="s">
        <v>64</v>
      </c>
      <c r="J40" s="10" t="s">
        <v>65</v>
      </c>
      <c r="K40" s="10">
        <v>0</v>
      </c>
      <c r="L40" s="14">
        <v>58278</v>
      </c>
      <c r="M40" s="15">
        <f t="shared" si="0"/>
        <v>5827.8</v>
      </c>
      <c r="N40" s="15">
        <f t="shared" si="1"/>
        <v>64105.8</v>
      </c>
    </row>
    <row r="41" spans="1:14" x14ac:dyDescent="0.25">
      <c r="A41" t="s">
        <v>163</v>
      </c>
      <c r="B41" t="s">
        <v>164</v>
      </c>
      <c r="C41" t="s">
        <v>73</v>
      </c>
      <c r="D41" t="s">
        <v>68</v>
      </c>
      <c r="E41" t="s">
        <v>93</v>
      </c>
      <c r="F41" s="13">
        <v>33680</v>
      </c>
      <c r="G41" t="s">
        <v>52</v>
      </c>
      <c r="H41" s="13">
        <v>24490</v>
      </c>
      <c r="I41" s="10" t="s">
        <v>45</v>
      </c>
      <c r="J41" s="10" t="s">
        <v>46</v>
      </c>
      <c r="K41" s="10">
        <v>0</v>
      </c>
      <c r="L41" s="14">
        <v>29045</v>
      </c>
      <c r="M41" s="15">
        <f t="shared" si="0"/>
        <v>2904.5</v>
      </c>
      <c r="N41" s="15">
        <f t="shared" si="1"/>
        <v>31949.5</v>
      </c>
    </row>
    <row r="42" spans="1:14" x14ac:dyDescent="0.25">
      <c r="A42" t="s">
        <v>165</v>
      </c>
      <c r="B42" t="s">
        <v>48</v>
      </c>
      <c r="C42" t="s">
        <v>41</v>
      </c>
      <c r="D42" t="s">
        <v>50</v>
      </c>
      <c r="E42" t="s">
        <v>51</v>
      </c>
      <c r="F42" s="13">
        <v>28533</v>
      </c>
      <c r="G42" t="s">
        <v>146</v>
      </c>
      <c r="H42" s="13">
        <v>23147</v>
      </c>
      <c r="I42" s="10" t="s">
        <v>64</v>
      </c>
      <c r="J42" s="10" t="s">
        <v>46</v>
      </c>
      <c r="K42" s="10">
        <v>0</v>
      </c>
      <c r="L42" s="14">
        <v>79061</v>
      </c>
      <c r="M42" s="15">
        <f t="shared" si="0"/>
        <v>7906.1</v>
      </c>
      <c r="N42" s="15">
        <f t="shared" si="1"/>
        <v>86967.1</v>
      </c>
    </row>
    <row r="43" spans="1:14" x14ac:dyDescent="0.25">
      <c r="A43" t="s">
        <v>165</v>
      </c>
      <c r="B43" t="s">
        <v>166</v>
      </c>
      <c r="C43" t="s">
        <v>61</v>
      </c>
      <c r="D43" t="s">
        <v>62</v>
      </c>
      <c r="E43" t="s">
        <v>167</v>
      </c>
      <c r="F43" s="13">
        <v>32445</v>
      </c>
      <c r="G43" t="s">
        <v>116</v>
      </c>
      <c r="H43" s="13">
        <v>19334</v>
      </c>
      <c r="I43" s="10" t="s">
        <v>64</v>
      </c>
      <c r="J43" s="10" t="s">
        <v>46</v>
      </c>
      <c r="K43" s="10">
        <v>0</v>
      </c>
      <c r="L43" s="14">
        <v>64738</v>
      </c>
      <c r="M43" s="15">
        <f t="shared" si="0"/>
        <v>6473.8</v>
      </c>
      <c r="N43" s="15">
        <f t="shared" si="1"/>
        <v>71211.8</v>
      </c>
    </row>
    <row r="44" spans="1:14" x14ac:dyDescent="0.25">
      <c r="A44" t="s">
        <v>168</v>
      </c>
      <c r="B44" t="s">
        <v>169</v>
      </c>
      <c r="C44" t="s">
        <v>49</v>
      </c>
      <c r="D44" t="s">
        <v>114</v>
      </c>
      <c r="E44" t="s">
        <v>126</v>
      </c>
      <c r="F44" s="13">
        <v>31051</v>
      </c>
      <c r="G44" t="s">
        <v>123</v>
      </c>
      <c r="H44" s="13">
        <v>22991</v>
      </c>
      <c r="I44" s="10" t="s">
        <v>53</v>
      </c>
      <c r="J44" s="10" t="s">
        <v>46</v>
      </c>
      <c r="K44" s="10">
        <v>1</v>
      </c>
      <c r="L44" s="14">
        <v>46486</v>
      </c>
      <c r="M44" s="15">
        <f t="shared" si="0"/>
        <v>4648.6000000000004</v>
      </c>
      <c r="N44" s="15">
        <f t="shared" si="1"/>
        <v>51134.6</v>
      </c>
    </row>
    <row r="45" spans="1:14" x14ac:dyDescent="0.25">
      <c r="A45" t="s">
        <v>168</v>
      </c>
      <c r="B45" t="s">
        <v>170</v>
      </c>
      <c r="C45" t="s">
        <v>73</v>
      </c>
      <c r="D45" t="s">
        <v>171</v>
      </c>
      <c r="E45" t="s">
        <v>93</v>
      </c>
      <c r="F45" s="13">
        <v>33688</v>
      </c>
      <c r="G45" t="s">
        <v>119</v>
      </c>
      <c r="H45" s="13">
        <v>24134</v>
      </c>
      <c r="I45" s="10" t="s">
        <v>53</v>
      </c>
      <c r="J45" s="10" t="s">
        <v>46</v>
      </c>
      <c r="K45" s="10">
        <v>2</v>
      </c>
      <c r="L45" s="14">
        <v>27598</v>
      </c>
      <c r="M45" s="15">
        <f t="shared" si="0"/>
        <v>2759.8</v>
      </c>
      <c r="N45" s="15">
        <f t="shared" si="1"/>
        <v>30357.8</v>
      </c>
    </row>
    <row r="46" spans="1:14" x14ac:dyDescent="0.25">
      <c r="A46" t="s">
        <v>172</v>
      </c>
      <c r="B46" t="s">
        <v>173</v>
      </c>
      <c r="C46" t="s">
        <v>149</v>
      </c>
      <c r="D46" t="s">
        <v>150</v>
      </c>
      <c r="E46" t="s">
        <v>126</v>
      </c>
      <c r="F46" s="13">
        <v>32040</v>
      </c>
      <c r="G46" t="s">
        <v>79</v>
      </c>
      <c r="H46" s="13">
        <v>22554</v>
      </c>
      <c r="I46" s="10" t="s">
        <v>89</v>
      </c>
      <c r="J46" s="10" t="s">
        <v>46</v>
      </c>
      <c r="K46" s="10">
        <v>1</v>
      </c>
      <c r="L46" s="14">
        <v>36940</v>
      </c>
      <c r="M46" s="15">
        <f t="shared" si="0"/>
        <v>3694</v>
      </c>
      <c r="N46" s="15">
        <f t="shared" si="1"/>
        <v>40634</v>
      </c>
    </row>
    <row r="47" spans="1:14" x14ac:dyDescent="0.25">
      <c r="A47" t="s">
        <v>174</v>
      </c>
      <c r="B47" t="s">
        <v>175</v>
      </c>
      <c r="C47" t="s">
        <v>49</v>
      </c>
      <c r="D47" t="s">
        <v>68</v>
      </c>
      <c r="E47" t="s">
        <v>93</v>
      </c>
      <c r="F47" s="13">
        <v>33083</v>
      </c>
      <c r="G47" t="s">
        <v>86</v>
      </c>
      <c r="H47" s="13">
        <v>25698</v>
      </c>
      <c r="I47" s="10" t="s">
        <v>45</v>
      </c>
      <c r="J47" s="10" t="s">
        <v>46</v>
      </c>
      <c r="K47" s="10">
        <v>4</v>
      </c>
      <c r="L47" s="14">
        <v>28044</v>
      </c>
      <c r="M47" s="15">
        <f t="shared" si="0"/>
        <v>2804.4</v>
      </c>
      <c r="N47" s="15">
        <f t="shared" si="1"/>
        <v>30848.400000000001</v>
      </c>
    </row>
    <row r="48" spans="1:14" x14ac:dyDescent="0.25">
      <c r="A48" t="s">
        <v>176</v>
      </c>
      <c r="B48" t="s">
        <v>177</v>
      </c>
      <c r="C48" t="s">
        <v>73</v>
      </c>
      <c r="D48" t="s">
        <v>171</v>
      </c>
      <c r="E48" t="s">
        <v>122</v>
      </c>
      <c r="F48" s="13">
        <v>31446</v>
      </c>
      <c r="G48" t="s">
        <v>58</v>
      </c>
      <c r="H48" s="13">
        <v>23702</v>
      </c>
      <c r="I48" s="10" t="s">
        <v>64</v>
      </c>
      <c r="J48" s="10" t="s">
        <v>46</v>
      </c>
      <c r="K48" s="10">
        <v>3</v>
      </c>
      <c r="L48" s="14">
        <v>27598</v>
      </c>
      <c r="M48" s="15">
        <f t="shared" si="0"/>
        <v>2759.8</v>
      </c>
      <c r="N48" s="15">
        <f t="shared" si="1"/>
        <v>30357.8</v>
      </c>
    </row>
    <row r="49" spans="1:14" x14ac:dyDescent="0.25">
      <c r="A49" t="s">
        <v>178</v>
      </c>
      <c r="B49" t="s">
        <v>179</v>
      </c>
      <c r="C49" t="s">
        <v>49</v>
      </c>
      <c r="D49" t="s">
        <v>129</v>
      </c>
      <c r="E49" t="s">
        <v>126</v>
      </c>
      <c r="F49" s="13">
        <v>32072</v>
      </c>
      <c r="G49" t="s">
        <v>116</v>
      </c>
      <c r="H49" s="13">
        <v>16533</v>
      </c>
      <c r="I49" s="10" t="s">
        <v>53</v>
      </c>
      <c r="J49" s="10" t="s">
        <v>65</v>
      </c>
      <c r="K49" s="10">
        <v>2</v>
      </c>
      <c r="L49" s="14">
        <v>66603</v>
      </c>
      <c r="M49" s="15">
        <f t="shared" si="0"/>
        <v>6660.3</v>
      </c>
      <c r="N49" s="15">
        <f t="shared" si="1"/>
        <v>73263.3</v>
      </c>
    </row>
    <row r="50" spans="1:14" x14ac:dyDescent="0.25">
      <c r="A50" t="s">
        <v>180</v>
      </c>
      <c r="B50" t="s">
        <v>91</v>
      </c>
      <c r="C50" t="s">
        <v>149</v>
      </c>
      <c r="D50" t="s">
        <v>181</v>
      </c>
      <c r="E50" t="s">
        <v>69</v>
      </c>
      <c r="F50" s="13">
        <v>33344</v>
      </c>
      <c r="G50" t="s">
        <v>79</v>
      </c>
      <c r="H50" s="13">
        <v>24693</v>
      </c>
      <c r="I50" s="10" t="s">
        <v>89</v>
      </c>
      <c r="J50" s="10" t="s">
        <v>46</v>
      </c>
      <c r="K50" s="10">
        <v>0</v>
      </c>
      <c r="L50" s="14">
        <v>25176</v>
      </c>
      <c r="M50" s="15">
        <f t="shared" si="0"/>
        <v>2517.6000000000004</v>
      </c>
      <c r="N50" s="15">
        <f t="shared" si="1"/>
        <v>27693.599999999999</v>
      </c>
    </row>
    <row r="51" spans="1:14" x14ac:dyDescent="0.25">
      <c r="A51" t="s">
        <v>182</v>
      </c>
      <c r="B51" t="s">
        <v>183</v>
      </c>
      <c r="C51" t="s">
        <v>41</v>
      </c>
      <c r="D51" t="s">
        <v>42</v>
      </c>
      <c r="E51" t="s">
        <v>167</v>
      </c>
      <c r="F51" s="13">
        <v>33258</v>
      </c>
      <c r="G51" t="s">
        <v>79</v>
      </c>
      <c r="H51" s="13">
        <v>24487</v>
      </c>
      <c r="I51" s="10" t="s">
        <v>45</v>
      </c>
      <c r="J51" s="10" t="s">
        <v>65</v>
      </c>
      <c r="K51" s="10">
        <v>4</v>
      </c>
      <c r="L51" s="14">
        <v>25147</v>
      </c>
      <c r="M51" s="15">
        <f t="shared" si="0"/>
        <v>2514.7000000000003</v>
      </c>
      <c r="N51" s="15">
        <f t="shared" si="1"/>
        <v>27661.7</v>
      </c>
    </row>
    <row r="52" spans="1:14" x14ac:dyDescent="0.25">
      <c r="A52" t="s">
        <v>184</v>
      </c>
      <c r="B52" t="s">
        <v>185</v>
      </c>
      <c r="C52" t="s">
        <v>55</v>
      </c>
      <c r="D52" t="s">
        <v>108</v>
      </c>
      <c r="E52" t="s">
        <v>78</v>
      </c>
      <c r="F52" s="13">
        <v>33091</v>
      </c>
      <c r="G52" t="s">
        <v>70</v>
      </c>
      <c r="H52" s="13">
        <v>23872</v>
      </c>
      <c r="I52" s="10" t="s">
        <v>45</v>
      </c>
      <c r="J52" s="10" t="s">
        <v>46</v>
      </c>
      <c r="K52" s="10">
        <v>0</v>
      </c>
      <c r="L52" s="14">
        <v>29362</v>
      </c>
      <c r="M52" s="15">
        <f t="shared" si="0"/>
        <v>2936.2000000000003</v>
      </c>
      <c r="N52" s="15">
        <f t="shared" si="1"/>
        <v>32298.2</v>
      </c>
    </row>
    <row r="53" spans="1:14" x14ac:dyDescent="0.25">
      <c r="A53" t="s">
        <v>186</v>
      </c>
      <c r="B53" t="s">
        <v>164</v>
      </c>
      <c r="C53" t="s">
        <v>49</v>
      </c>
      <c r="D53" t="s">
        <v>129</v>
      </c>
      <c r="E53" t="s">
        <v>140</v>
      </c>
      <c r="F53" s="13">
        <v>29885</v>
      </c>
      <c r="G53" t="s">
        <v>52</v>
      </c>
      <c r="H53" s="13">
        <v>23404</v>
      </c>
      <c r="I53" s="10" t="s">
        <v>89</v>
      </c>
      <c r="J53" s="10" t="s">
        <v>46</v>
      </c>
      <c r="K53" s="10">
        <v>1</v>
      </c>
      <c r="L53" s="14">
        <v>33301</v>
      </c>
      <c r="M53" s="15">
        <f t="shared" si="0"/>
        <v>3330.1000000000004</v>
      </c>
      <c r="N53" s="15">
        <f t="shared" si="1"/>
        <v>36631.1</v>
      </c>
    </row>
    <row r="54" spans="1:14" x14ac:dyDescent="0.25">
      <c r="A54" t="s">
        <v>187</v>
      </c>
      <c r="B54" t="s">
        <v>188</v>
      </c>
      <c r="C54" t="s">
        <v>49</v>
      </c>
      <c r="D54" t="s">
        <v>129</v>
      </c>
      <c r="E54" t="s">
        <v>74</v>
      </c>
      <c r="F54" s="13">
        <v>29885</v>
      </c>
      <c r="G54" t="s">
        <v>116</v>
      </c>
      <c r="H54" s="13">
        <v>25447</v>
      </c>
      <c r="I54" s="10" t="s">
        <v>53</v>
      </c>
      <c r="J54" s="10" t="s">
        <v>65</v>
      </c>
      <c r="K54" s="10">
        <v>3</v>
      </c>
      <c r="L54" s="14">
        <v>33301</v>
      </c>
      <c r="M54" s="15">
        <f t="shared" si="0"/>
        <v>3330.1000000000004</v>
      </c>
      <c r="N54" s="15">
        <f t="shared" si="1"/>
        <v>36631.1</v>
      </c>
    </row>
    <row r="55" spans="1:14" x14ac:dyDescent="0.25">
      <c r="A55" t="s">
        <v>189</v>
      </c>
      <c r="B55" t="s">
        <v>190</v>
      </c>
      <c r="C55" t="s">
        <v>41</v>
      </c>
      <c r="D55" t="s">
        <v>42</v>
      </c>
      <c r="E55" t="s">
        <v>191</v>
      </c>
      <c r="F55" s="13">
        <v>29877</v>
      </c>
      <c r="G55" t="s">
        <v>116</v>
      </c>
      <c r="H55" s="13">
        <v>25458</v>
      </c>
      <c r="I55" s="10" t="s">
        <v>89</v>
      </c>
      <c r="J55" s="10" t="s">
        <v>46</v>
      </c>
      <c r="K55" s="10">
        <v>3</v>
      </c>
      <c r="L55" s="14">
        <v>23212</v>
      </c>
      <c r="M55" s="15">
        <f t="shared" si="0"/>
        <v>2321.2000000000003</v>
      </c>
      <c r="N55" s="15">
        <f t="shared" si="1"/>
        <v>25533.200000000001</v>
      </c>
    </row>
    <row r="56" spans="1:14" x14ac:dyDescent="0.25">
      <c r="A56" t="s">
        <v>192</v>
      </c>
      <c r="B56" t="s">
        <v>193</v>
      </c>
      <c r="C56" t="s">
        <v>73</v>
      </c>
      <c r="D56" t="s">
        <v>68</v>
      </c>
      <c r="E56" t="s">
        <v>115</v>
      </c>
      <c r="F56" s="13">
        <v>31729</v>
      </c>
      <c r="G56" t="s">
        <v>123</v>
      </c>
      <c r="H56" s="13">
        <v>23823</v>
      </c>
      <c r="I56" s="10" t="s">
        <v>53</v>
      </c>
      <c r="J56" s="10" t="s">
        <v>46</v>
      </c>
      <c r="K56" s="10">
        <v>8</v>
      </c>
      <c r="L56" s="14">
        <v>28044</v>
      </c>
      <c r="M56" s="15">
        <f t="shared" si="0"/>
        <v>2804.4</v>
      </c>
      <c r="N56" s="15">
        <f t="shared" si="1"/>
        <v>30848.400000000001</v>
      </c>
    </row>
    <row r="57" spans="1:14" x14ac:dyDescent="0.25">
      <c r="A57" t="s">
        <v>194</v>
      </c>
      <c r="B57" t="s">
        <v>195</v>
      </c>
      <c r="C57" t="s">
        <v>55</v>
      </c>
      <c r="D57" t="s">
        <v>85</v>
      </c>
      <c r="E57" t="s">
        <v>122</v>
      </c>
      <c r="F57" s="13">
        <v>33890</v>
      </c>
      <c r="G57" t="s">
        <v>116</v>
      </c>
      <c r="H57" s="13">
        <v>25761</v>
      </c>
      <c r="I57" s="10" t="s">
        <v>45</v>
      </c>
      <c r="J57" s="10" t="s">
        <v>46</v>
      </c>
      <c r="K57" s="10">
        <v>1</v>
      </c>
      <c r="L57" s="14">
        <v>34002</v>
      </c>
      <c r="M57" s="15">
        <f t="shared" si="0"/>
        <v>3400.2000000000003</v>
      </c>
      <c r="N57" s="15">
        <f t="shared" si="1"/>
        <v>37402.199999999997</v>
      </c>
    </row>
    <row r="58" spans="1:14" x14ac:dyDescent="0.25">
      <c r="A58" t="s">
        <v>196</v>
      </c>
      <c r="B58" t="s">
        <v>197</v>
      </c>
      <c r="C58" t="s">
        <v>55</v>
      </c>
      <c r="D58" t="s">
        <v>77</v>
      </c>
      <c r="E58" t="s">
        <v>115</v>
      </c>
      <c r="F58" s="13">
        <v>31209</v>
      </c>
      <c r="G58" t="s">
        <v>143</v>
      </c>
      <c r="H58" s="13">
        <v>22954</v>
      </c>
      <c r="I58" s="10" t="s">
        <v>45</v>
      </c>
      <c r="J58" s="10" t="s">
        <v>65</v>
      </c>
      <c r="K58" s="10">
        <v>0</v>
      </c>
      <c r="L58" s="14">
        <v>46387</v>
      </c>
      <c r="M58" s="15">
        <f t="shared" si="0"/>
        <v>4638.7</v>
      </c>
      <c r="N58" s="15">
        <f t="shared" si="1"/>
        <v>51025.7</v>
      </c>
    </row>
    <row r="59" spans="1:14" x14ac:dyDescent="0.25">
      <c r="A59" t="s">
        <v>198</v>
      </c>
      <c r="B59" t="s">
        <v>170</v>
      </c>
      <c r="C59" t="s">
        <v>61</v>
      </c>
      <c r="D59" t="s">
        <v>68</v>
      </c>
      <c r="E59" t="s">
        <v>43</v>
      </c>
      <c r="F59" s="13">
        <v>32971</v>
      </c>
      <c r="G59" t="s">
        <v>123</v>
      </c>
      <c r="H59" s="13">
        <v>23393</v>
      </c>
      <c r="I59" s="10" t="s">
        <v>89</v>
      </c>
      <c r="J59" s="10" t="s">
        <v>46</v>
      </c>
      <c r="K59" s="10">
        <v>1</v>
      </c>
      <c r="L59" s="14">
        <v>31048</v>
      </c>
      <c r="M59" s="15">
        <f t="shared" si="0"/>
        <v>3104.8</v>
      </c>
      <c r="N59" s="15">
        <f t="shared" si="1"/>
        <v>34152.800000000003</v>
      </c>
    </row>
    <row r="60" spans="1:14" x14ac:dyDescent="0.25">
      <c r="A60" t="s">
        <v>199</v>
      </c>
      <c r="B60" t="s">
        <v>200</v>
      </c>
      <c r="C60" t="s">
        <v>41</v>
      </c>
      <c r="D60" t="s">
        <v>50</v>
      </c>
      <c r="E60" t="s">
        <v>97</v>
      </c>
      <c r="F60" s="13">
        <v>29153</v>
      </c>
      <c r="G60" t="s">
        <v>116</v>
      </c>
      <c r="H60" s="13">
        <v>13751</v>
      </c>
      <c r="I60" s="10" t="s">
        <v>89</v>
      </c>
      <c r="J60" s="10" t="s">
        <v>46</v>
      </c>
      <c r="K60" s="10">
        <v>1</v>
      </c>
      <c r="L60" s="14">
        <v>116511</v>
      </c>
      <c r="M60" s="15">
        <f t="shared" si="0"/>
        <v>11651.1</v>
      </c>
      <c r="N60" s="15">
        <f t="shared" si="1"/>
        <v>128162.1</v>
      </c>
    </row>
    <row r="61" spans="1:14" x14ac:dyDescent="0.25">
      <c r="A61" t="s">
        <v>201</v>
      </c>
      <c r="B61" t="s">
        <v>202</v>
      </c>
      <c r="C61" t="s">
        <v>49</v>
      </c>
      <c r="D61" t="s">
        <v>68</v>
      </c>
      <c r="E61" t="s">
        <v>111</v>
      </c>
      <c r="F61" s="13">
        <v>33083</v>
      </c>
      <c r="G61" t="s">
        <v>86</v>
      </c>
      <c r="H61" s="13">
        <v>22411</v>
      </c>
      <c r="I61" s="10" t="s">
        <v>89</v>
      </c>
      <c r="J61" s="10" t="s">
        <v>46</v>
      </c>
      <c r="K61" s="10">
        <v>1</v>
      </c>
      <c r="L61" s="14">
        <v>28044</v>
      </c>
      <c r="M61" s="15">
        <f t="shared" si="0"/>
        <v>2804.4</v>
      </c>
      <c r="N61" s="15">
        <f t="shared" si="1"/>
        <v>30848.400000000001</v>
      </c>
    </row>
    <row r="62" spans="1:14" x14ac:dyDescent="0.25">
      <c r="A62" t="s">
        <v>203</v>
      </c>
      <c r="B62" t="s">
        <v>204</v>
      </c>
      <c r="C62" t="s">
        <v>55</v>
      </c>
      <c r="D62" t="s">
        <v>56</v>
      </c>
      <c r="E62" t="s">
        <v>78</v>
      </c>
      <c r="F62" s="13">
        <v>31728</v>
      </c>
      <c r="G62" t="s">
        <v>123</v>
      </c>
      <c r="H62" s="13">
        <v>21267</v>
      </c>
      <c r="I62" s="10" t="s">
        <v>45</v>
      </c>
      <c r="J62" s="10" t="s">
        <v>46</v>
      </c>
      <c r="K62" s="10">
        <v>0</v>
      </c>
      <c r="L62" s="14">
        <v>53721</v>
      </c>
      <c r="M62" s="15">
        <f t="shared" si="0"/>
        <v>5372.1</v>
      </c>
      <c r="N62" s="15">
        <f t="shared" si="1"/>
        <v>59093.1</v>
      </c>
    </row>
    <row r="63" spans="1:14" x14ac:dyDescent="0.25">
      <c r="A63" t="s">
        <v>205</v>
      </c>
      <c r="B63" t="s">
        <v>206</v>
      </c>
      <c r="C63" t="s">
        <v>55</v>
      </c>
      <c r="D63" t="s">
        <v>102</v>
      </c>
      <c r="E63" t="s">
        <v>191</v>
      </c>
      <c r="F63" s="13">
        <v>31104</v>
      </c>
      <c r="G63" t="s">
        <v>143</v>
      </c>
      <c r="H63" s="13">
        <v>23199</v>
      </c>
      <c r="I63" s="10" t="s">
        <v>53</v>
      </c>
      <c r="J63" s="10" t="s">
        <v>65</v>
      </c>
      <c r="K63" s="10">
        <v>2</v>
      </c>
      <c r="L63" s="14">
        <v>62590</v>
      </c>
      <c r="M63" s="15">
        <f t="shared" si="0"/>
        <v>6259</v>
      </c>
      <c r="N63" s="15">
        <f t="shared" si="1"/>
        <v>68849</v>
      </c>
    </row>
    <row r="64" spans="1:14" x14ac:dyDescent="0.25">
      <c r="A64" t="s">
        <v>205</v>
      </c>
      <c r="B64" t="s">
        <v>207</v>
      </c>
      <c r="C64" t="s">
        <v>55</v>
      </c>
      <c r="D64" t="s">
        <v>108</v>
      </c>
      <c r="E64" t="s">
        <v>93</v>
      </c>
      <c r="F64" s="13">
        <v>29916</v>
      </c>
      <c r="G64" t="s">
        <v>123</v>
      </c>
      <c r="H64" s="13">
        <v>23996</v>
      </c>
      <c r="I64" s="10" t="s">
        <v>53</v>
      </c>
      <c r="J64" s="10" t="s">
        <v>65</v>
      </c>
      <c r="K64" s="10">
        <v>0</v>
      </c>
      <c r="L64" s="14">
        <v>29362</v>
      </c>
      <c r="M64" s="15">
        <f t="shared" si="0"/>
        <v>2936.2000000000003</v>
      </c>
      <c r="N64" s="15">
        <f t="shared" si="1"/>
        <v>32298.2</v>
      </c>
    </row>
    <row r="65" spans="1:14" x14ac:dyDescent="0.25">
      <c r="A65" t="s">
        <v>208</v>
      </c>
      <c r="B65" t="s">
        <v>209</v>
      </c>
      <c r="C65" t="s">
        <v>49</v>
      </c>
      <c r="D65" t="s">
        <v>42</v>
      </c>
      <c r="E65" t="s">
        <v>130</v>
      </c>
      <c r="F65" s="13">
        <v>31503</v>
      </c>
      <c r="G65" t="s">
        <v>116</v>
      </c>
      <c r="H65" s="13">
        <v>22971</v>
      </c>
      <c r="I65" s="10" t="s">
        <v>64</v>
      </c>
      <c r="J65" s="10" t="s">
        <v>46</v>
      </c>
      <c r="K65" s="10">
        <v>2</v>
      </c>
      <c r="L65" s="14">
        <v>29983</v>
      </c>
      <c r="M65" s="15">
        <f t="shared" si="0"/>
        <v>2998.3</v>
      </c>
      <c r="N65" s="15">
        <f t="shared" si="1"/>
        <v>32981.300000000003</v>
      </c>
    </row>
    <row r="66" spans="1:14" x14ac:dyDescent="0.25">
      <c r="A66" t="s">
        <v>210</v>
      </c>
      <c r="B66" t="s">
        <v>211</v>
      </c>
      <c r="C66" t="s">
        <v>41</v>
      </c>
      <c r="D66" t="s">
        <v>42</v>
      </c>
      <c r="E66" t="s">
        <v>191</v>
      </c>
      <c r="F66" s="13">
        <v>31721</v>
      </c>
      <c r="G66" t="s">
        <v>123</v>
      </c>
      <c r="H66" s="13">
        <v>23834</v>
      </c>
      <c r="I66" s="10" t="s">
        <v>89</v>
      </c>
      <c r="J66" s="10" t="s">
        <v>65</v>
      </c>
      <c r="K66" s="10">
        <v>2</v>
      </c>
      <c r="L66" s="14">
        <v>27081</v>
      </c>
      <c r="M66" s="15">
        <f t="shared" si="0"/>
        <v>2708.1000000000004</v>
      </c>
      <c r="N66" s="15">
        <f t="shared" si="1"/>
        <v>29789.1</v>
      </c>
    </row>
    <row r="67" spans="1:14" x14ac:dyDescent="0.25">
      <c r="A67" t="s">
        <v>212</v>
      </c>
      <c r="B67" t="s">
        <v>213</v>
      </c>
      <c r="C67" t="s">
        <v>55</v>
      </c>
      <c r="D67" t="s">
        <v>85</v>
      </c>
      <c r="E67" t="s">
        <v>63</v>
      </c>
      <c r="F67" s="13">
        <v>33042</v>
      </c>
      <c r="G67" t="s">
        <v>143</v>
      </c>
      <c r="H67" s="13">
        <v>23203</v>
      </c>
      <c r="I67" s="10" t="s">
        <v>45</v>
      </c>
      <c r="J67" s="10" t="s">
        <v>65</v>
      </c>
      <c r="K67" s="10">
        <v>0</v>
      </c>
      <c r="L67" s="14">
        <v>44351</v>
      </c>
      <c r="M67" s="15">
        <f t="shared" si="0"/>
        <v>4435.1000000000004</v>
      </c>
      <c r="N67" s="15">
        <f t="shared" si="1"/>
        <v>48786.1</v>
      </c>
    </row>
    <row r="68" spans="1:14" x14ac:dyDescent="0.25">
      <c r="A68" t="s">
        <v>214</v>
      </c>
      <c r="B68" t="s">
        <v>215</v>
      </c>
      <c r="C68" t="s">
        <v>41</v>
      </c>
      <c r="D68" t="s">
        <v>42</v>
      </c>
      <c r="E68" t="s">
        <v>111</v>
      </c>
      <c r="F68" s="13">
        <v>31050</v>
      </c>
      <c r="G68" t="s">
        <v>70</v>
      </c>
      <c r="H68" s="13">
        <v>24200</v>
      </c>
      <c r="I68" s="10" t="s">
        <v>53</v>
      </c>
      <c r="J68" s="10" t="s">
        <v>65</v>
      </c>
      <c r="K68" s="10">
        <v>5</v>
      </c>
      <c r="L68" s="14">
        <v>26114</v>
      </c>
      <c r="M68" s="15">
        <f t="shared" ref="M68:M120" si="2">L68*0.1</f>
        <v>2611.4</v>
      </c>
      <c r="N68" s="15">
        <f t="shared" ref="N68:N120" si="3">L68+M68</f>
        <v>28725.4</v>
      </c>
    </row>
    <row r="69" spans="1:14" x14ac:dyDescent="0.25">
      <c r="A69" t="s">
        <v>216</v>
      </c>
      <c r="B69" t="s">
        <v>217</v>
      </c>
      <c r="C69" t="s">
        <v>49</v>
      </c>
      <c r="D69" t="s">
        <v>114</v>
      </c>
      <c r="E69" t="s">
        <v>93</v>
      </c>
      <c r="F69" s="13">
        <v>31743</v>
      </c>
      <c r="G69" t="s">
        <v>123</v>
      </c>
      <c r="H69" s="13">
        <v>22347</v>
      </c>
      <c r="I69" s="10" t="s">
        <v>45</v>
      </c>
      <c r="J69" s="10" t="s">
        <v>65</v>
      </c>
      <c r="K69" s="10">
        <v>4</v>
      </c>
      <c r="L69" s="14">
        <v>47986</v>
      </c>
      <c r="M69" s="15">
        <f t="shared" si="2"/>
        <v>4798.6000000000004</v>
      </c>
      <c r="N69" s="15">
        <f t="shared" si="3"/>
        <v>52784.6</v>
      </c>
    </row>
    <row r="70" spans="1:14" x14ac:dyDescent="0.25">
      <c r="A70" t="s">
        <v>216</v>
      </c>
      <c r="B70" t="s">
        <v>218</v>
      </c>
      <c r="C70" t="s">
        <v>55</v>
      </c>
      <c r="D70" t="s">
        <v>92</v>
      </c>
      <c r="E70" t="s">
        <v>111</v>
      </c>
      <c r="F70" s="13">
        <v>30212</v>
      </c>
      <c r="G70" t="s">
        <v>79</v>
      </c>
      <c r="H70" s="13">
        <v>21388</v>
      </c>
      <c r="I70" s="10" t="s">
        <v>89</v>
      </c>
      <c r="J70" s="10" t="s">
        <v>65</v>
      </c>
      <c r="K70" s="10">
        <v>0</v>
      </c>
      <c r="L70" s="14">
        <v>31068</v>
      </c>
      <c r="M70" s="15">
        <f t="shared" si="2"/>
        <v>3106.8</v>
      </c>
      <c r="N70" s="15">
        <f t="shared" si="3"/>
        <v>34174.800000000003</v>
      </c>
    </row>
    <row r="71" spans="1:14" x14ac:dyDescent="0.25">
      <c r="A71" t="s">
        <v>216</v>
      </c>
      <c r="B71" t="s">
        <v>219</v>
      </c>
      <c r="C71" t="s">
        <v>41</v>
      </c>
      <c r="D71" t="s">
        <v>42</v>
      </c>
      <c r="E71" t="s">
        <v>63</v>
      </c>
      <c r="F71" s="13">
        <v>29908</v>
      </c>
      <c r="G71" t="s">
        <v>123</v>
      </c>
      <c r="H71" s="13">
        <v>24007</v>
      </c>
      <c r="I71" s="10" t="s">
        <v>53</v>
      </c>
      <c r="J71" s="10" t="s">
        <v>65</v>
      </c>
      <c r="K71" s="10">
        <v>2</v>
      </c>
      <c r="L71" s="14">
        <v>27081</v>
      </c>
      <c r="M71" s="15">
        <f t="shared" si="2"/>
        <v>2708.1000000000004</v>
      </c>
      <c r="N71" s="15">
        <f t="shared" si="3"/>
        <v>29789.1</v>
      </c>
    </row>
    <row r="72" spans="1:14" x14ac:dyDescent="0.25">
      <c r="A72" t="s">
        <v>220</v>
      </c>
      <c r="B72" t="s">
        <v>221</v>
      </c>
      <c r="C72" t="s">
        <v>55</v>
      </c>
      <c r="D72" t="s">
        <v>108</v>
      </c>
      <c r="E72" t="s">
        <v>43</v>
      </c>
      <c r="F72" s="13">
        <v>32339</v>
      </c>
      <c r="G72" t="s">
        <v>86</v>
      </c>
      <c r="H72" s="13">
        <v>22056</v>
      </c>
      <c r="I72" s="10" t="s">
        <v>64</v>
      </c>
      <c r="J72" s="10" t="s">
        <v>65</v>
      </c>
      <c r="K72" s="10">
        <v>8</v>
      </c>
      <c r="L72" s="14">
        <v>34605</v>
      </c>
      <c r="M72" s="15">
        <f t="shared" si="2"/>
        <v>3460.5</v>
      </c>
      <c r="N72" s="15">
        <f t="shared" si="3"/>
        <v>38065.5</v>
      </c>
    </row>
    <row r="73" spans="1:14" x14ac:dyDescent="0.25">
      <c r="A73" t="s">
        <v>222</v>
      </c>
      <c r="B73" t="s">
        <v>223</v>
      </c>
      <c r="C73" t="s">
        <v>55</v>
      </c>
      <c r="D73" t="s">
        <v>77</v>
      </c>
      <c r="E73" t="s">
        <v>93</v>
      </c>
      <c r="F73" s="13">
        <v>31438</v>
      </c>
      <c r="G73" t="s">
        <v>52</v>
      </c>
      <c r="H73" s="13">
        <v>23713</v>
      </c>
      <c r="I73" s="10" t="s">
        <v>53</v>
      </c>
      <c r="J73" s="10" t="s">
        <v>65</v>
      </c>
      <c r="K73" s="10">
        <v>2</v>
      </c>
      <c r="L73" s="14">
        <v>43394</v>
      </c>
      <c r="M73" s="15">
        <f t="shared" si="2"/>
        <v>4339.4000000000005</v>
      </c>
      <c r="N73" s="15">
        <f t="shared" si="3"/>
        <v>47733.4</v>
      </c>
    </row>
    <row r="74" spans="1:14" x14ac:dyDescent="0.25">
      <c r="A74" t="s">
        <v>224</v>
      </c>
      <c r="B74" t="s">
        <v>225</v>
      </c>
      <c r="C74" t="s">
        <v>49</v>
      </c>
      <c r="D74" t="s">
        <v>114</v>
      </c>
      <c r="E74" t="s">
        <v>69</v>
      </c>
      <c r="F74" s="13">
        <v>31034</v>
      </c>
      <c r="G74" t="s">
        <v>44</v>
      </c>
      <c r="H74" s="13">
        <v>25129</v>
      </c>
      <c r="I74" s="10" t="s">
        <v>53</v>
      </c>
      <c r="J74" s="10" t="s">
        <v>46</v>
      </c>
      <c r="K74" s="10">
        <v>6</v>
      </c>
      <c r="L74" s="14">
        <v>37489</v>
      </c>
      <c r="M74" s="15">
        <f t="shared" si="2"/>
        <v>3748.9</v>
      </c>
      <c r="N74" s="15">
        <f t="shared" si="3"/>
        <v>41237.9</v>
      </c>
    </row>
    <row r="75" spans="1:14" x14ac:dyDescent="0.25">
      <c r="A75" t="s">
        <v>226</v>
      </c>
      <c r="B75" t="s">
        <v>188</v>
      </c>
      <c r="C75" t="s">
        <v>73</v>
      </c>
      <c r="D75" t="s">
        <v>68</v>
      </c>
      <c r="E75" t="s">
        <v>155</v>
      </c>
      <c r="F75" s="13">
        <v>33680</v>
      </c>
      <c r="G75" t="s">
        <v>52</v>
      </c>
      <c r="H75" s="13">
        <v>26135</v>
      </c>
      <c r="I75" s="10" t="s">
        <v>64</v>
      </c>
      <c r="J75" s="10" t="s">
        <v>65</v>
      </c>
      <c r="K75" s="10">
        <v>2</v>
      </c>
      <c r="L75" s="14">
        <v>29045</v>
      </c>
      <c r="M75" s="15">
        <f t="shared" si="2"/>
        <v>2904.5</v>
      </c>
      <c r="N75" s="15">
        <f t="shared" si="3"/>
        <v>31949.5</v>
      </c>
    </row>
    <row r="76" spans="1:14" x14ac:dyDescent="0.25">
      <c r="A76" t="s">
        <v>227</v>
      </c>
      <c r="B76" t="s">
        <v>202</v>
      </c>
      <c r="C76" t="s">
        <v>49</v>
      </c>
      <c r="D76" t="s">
        <v>114</v>
      </c>
      <c r="E76" t="s">
        <v>167</v>
      </c>
      <c r="F76" s="13">
        <v>28531</v>
      </c>
      <c r="G76" t="s">
        <v>143</v>
      </c>
      <c r="H76" s="13">
        <v>19866</v>
      </c>
      <c r="I76" s="10" t="s">
        <v>53</v>
      </c>
      <c r="J76" s="10" t="s">
        <v>46</v>
      </c>
      <c r="K76" s="10">
        <v>1</v>
      </c>
      <c r="L76" s="14">
        <v>58482</v>
      </c>
      <c r="M76" s="15">
        <f t="shared" si="2"/>
        <v>5848.2000000000007</v>
      </c>
      <c r="N76" s="15">
        <f t="shared" si="3"/>
        <v>64330.2</v>
      </c>
    </row>
    <row r="77" spans="1:14" x14ac:dyDescent="0.25">
      <c r="A77" t="s">
        <v>227</v>
      </c>
      <c r="B77" t="s">
        <v>228</v>
      </c>
      <c r="C77" t="s">
        <v>73</v>
      </c>
      <c r="D77" t="s">
        <v>171</v>
      </c>
      <c r="E77" t="s">
        <v>140</v>
      </c>
      <c r="F77" s="13">
        <v>32894</v>
      </c>
      <c r="G77" t="s">
        <v>52</v>
      </c>
      <c r="H77" s="13">
        <v>24038</v>
      </c>
      <c r="I77" s="10" t="s">
        <v>45</v>
      </c>
      <c r="J77" s="10" t="s">
        <v>46</v>
      </c>
      <c r="K77" s="10">
        <v>1</v>
      </c>
      <c r="L77" s="14">
        <v>26646</v>
      </c>
      <c r="M77" s="15">
        <f t="shared" si="2"/>
        <v>2664.6000000000004</v>
      </c>
      <c r="N77" s="15">
        <f t="shared" si="3"/>
        <v>29310.6</v>
      </c>
    </row>
    <row r="78" spans="1:14" x14ac:dyDescent="0.25">
      <c r="A78" t="s">
        <v>229</v>
      </c>
      <c r="B78" t="s">
        <v>230</v>
      </c>
      <c r="C78" t="s">
        <v>55</v>
      </c>
      <c r="D78" t="s">
        <v>85</v>
      </c>
      <c r="E78" t="s">
        <v>93</v>
      </c>
      <c r="F78" s="13">
        <v>32639</v>
      </c>
      <c r="G78" t="s">
        <v>44</v>
      </c>
      <c r="H78" s="13">
        <v>23518</v>
      </c>
      <c r="I78" s="10" t="s">
        <v>64</v>
      </c>
      <c r="J78" s="10" t="s">
        <v>65</v>
      </c>
      <c r="K78" s="10">
        <v>0</v>
      </c>
      <c r="L78" s="14">
        <v>42872</v>
      </c>
      <c r="M78" s="15">
        <f t="shared" si="2"/>
        <v>4287.2</v>
      </c>
      <c r="N78" s="15">
        <f t="shared" si="3"/>
        <v>47159.199999999997</v>
      </c>
    </row>
    <row r="79" spans="1:14" x14ac:dyDescent="0.25">
      <c r="A79" t="s">
        <v>231</v>
      </c>
      <c r="B79" t="s">
        <v>88</v>
      </c>
      <c r="C79" t="s">
        <v>55</v>
      </c>
      <c r="D79" t="s">
        <v>56</v>
      </c>
      <c r="E79" t="s">
        <v>57</v>
      </c>
      <c r="F79" s="13">
        <v>31421</v>
      </c>
      <c r="G79" t="s">
        <v>146</v>
      </c>
      <c r="H79" s="13">
        <v>24064</v>
      </c>
      <c r="I79" s="10" t="s">
        <v>64</v>
      </c>
      <c r="J79" s="10" t="s">
        <v>46</v>
      </c>
      <c r="K79" s="10">
        <v>0</v>
      </c>
      <c r="L79" s="14">
        <v>58326</v>
      </c>
      <c r="M79" s="15">
        <f t="shared" si="2"/>
        <v>5832.6</v>
      </c>
      <c r="N79" s="15">
        <f t="shared" si="3"/>
        <v>64158.6</v>
      </c>
    </row>
    <row r="80" spans="1:14" x14ac:dyDescent="0.25">
      <c r="A80" t="s">
        <v>232</v>
      </c>
      <c r="B80" t="s">
        <v>233</v>
      </c>
      <c r="C80" t="s">
        <v>49</v>
      </c>
      <c r="D80" t="s">
        <v>129</v>
      </c>
      <c r="E80" t="s">
        <v>97</v>
      </c>
      <c r="F80" s="13">
        <v>32101</v>
      </c>
      <c r="G80" t="s">
        <v>123</v>
      </c>
      <c r="H80" s="13">
        <v>20563</v>
      </c>
      <c r="I80" s="10" t="s">
        <v>45</v>
      </c>
      <c r="J80" s="10" t="s">
        <v>46</v>
      </c>
      <c r="K80" s="10">
        <v>2</v>
      </c>
      <c r="L80" s="14">
        <v>51340</v>
      </c>
      <c r="M80" s="15">
        <f t="shared" si="2"/>
        <v>5134</v>
      </c>
      <c r="N80" s="15">
        <f t="shared" si="3"/>
        <v>56474</v>
      </c>
    </row>
    <row r="81" spans="1:14" x14ac:dyDescent="0.25">
      <c r="A81" t="s">
        <v>234</v>
      </c>
      <c r="B81" t="s">
        <v>235</v>
      </c>
      <c r="C81" t="s">
        <v>49</v>
      </c>
      <c r="D81" t="s">
        <v>68</v>
      </c>
      <c r="E81" t="s">
        <v>43</v>
      </c>
      <c r="F81" s="13">
        <v>33336</v>
      </c>
      <c r="G81" t="s">
        <v>86</v>
      </c>
      <c r="H81" s="13">
        <v>24704</v>
      </c>
      <c r="I81" s="10" t="s">
        <v>53</v>
      </c>
      <c r="J81" s="10" t="s">
        <v>65</v>
      </c>
      <c r="K81" s="10">
        <v>3</v>
      </c>
      <c r="L81" s="14">
        <v>26041</v>
      </c>
      <c r="M81" s="15">
        <f t="shared" si="2"/>
        <v>2604.1000000000004</v>
      </c>
      <c r="N81" s="15">
        <f t="shared" si="3"/>
        <v>28645.1</v>
      </c>
    </row>
    <row r="82" spans="1:14" x14ac:dyDescent="0.25">
      <c r="A82" t="s">
        <v>236</v>
      </c>
      <c r="B82" t="s">
        <v>237</v>
      </c>
      <c r="C82" t="s">
        <v>49</v>
      </c>
      <c r="D82" t="s">
        <v>68</v>
      </c>
      <c r="E82" t="s">
        <v>111</v>
      </c>
      <c r="F82" s="13">
        <v>32771</v>
      </c>
      <c r="G82" t="s">
        <v>79</v>
      </c>
      <c r="H82" s="13">
        <v>22172</v>
      </c>
      <c r="I82" s="10" t="s">
        <v>89</v>
      </c>
      <c r="J82" s="10" t="s">
        <v>65</v>
      </c>
      <c r="K82" s="10">
        <v>4</v>
      </c>
      <c r="L82" s="14">
        <v>33051</v>
      </c>
      <c r="M82" s="15">
        <f t="shared" si="2"/>
        <v>3305.1000000000004</v>
      </c>
      <c r="N82" s="15">
        <f t="shared" si="3"/>
        <v>36356.1</v>
      </c>
    </row>
    <row r="83" spans="1:14" x14ac:dyDescent="0.25">
      <c r="A83" t="s">
        <v>238</v>
      </c>
      <c r="B83" t="s">
        <v>239</v>
      </c>
      <c r="C83" t="s">
        <v>149</v>
      </c>
      <c r="D83" t="s">
        <v>150</v>
      </c>
      <c r="E83" t="s">
        <v>130</v>
      </c>
      <c r="F83" s="13">
        <v>30028</v>
      </c>
      <c r="G83" t="s">
        <v>58</v>
      </c>
      <c r="H83" s="13">
        <v>22942</v>
      </c>
      <c r="I83" s="10" t="s">
        <v>45</v>
      </c>
      <c r="J83" s="10" t="s">
        <v>65</v>
      </c>
      <c r="K83" s="10">
        <v>6</v>
      </c>
      <c r="L83" s="14">
        <v>35785</v>
      </c>
      <c r="M83" s="15">
        <f t="shared" si="2"/>
        <v>3578.5</v>
      </c>
      <c r="N83" s="15">
        <f t="shared" si="3"/>
        <v>39363.5</v>
      </c>
    </row>
    <row r="84" spans="1:14" x14ac:dyDescent="0.25">
      <c r="A84" t="s">
        <v>240</v>
      </c>
      <c r="B84" t="s">
        <v>241</v>
      </c>
      <c r="C84" t="s">
        <v>41</v>
      </c>
      <c r="D84" t="s">
        <v>50</v>
      </c>
      <c r="E84" t="s">
        <v>97</v>
      </c>
      <c r="F84" s="13">
        <v>30817</v>
      </c>
      <c r="G84" t="s">
        <v>44</v>
      </c>
      <c r="H84" s="13">
        <v>21449</v>
      </c>
      <c r="I84" s="10" t="s">
        <v>64</v>
      </c>
      <c r="J84" s="10" t="s">
        <v>65</v>
      </c>
      <c r="K84" s="10">
        <v>0</v>
      </c>
      <c r="L84" s="14">
        <v>72820</v>
      </c>
      <c r="M84" s="15">
        <f t="shared" si="2"/>
        <v>7282</v>
      </c>
      <c r="N84" s="15">
        <f t="shared" si="3"/>
        <v>80102</v>
      </c>
    </row>
    <row r="85" spans="1:14" x14ac:dyDescent="0.25">
      <c r="A85" t="s">
        <v>242</v>
      </c>
      <c r="B85" t="s">
        <v>243</v>
      </c>
      <c r="C85" t="s">
        <v>55</v>
      </c>
      <c r="D85" t="s">
        <v>85</v>
      </c>
      <c r="E85" t="s">
        <v>51</v>
      </c>
      <c r="F85" s="13">
        <v>33062</v>
      </c>
      <c r="G85" t="s">
        <v>86</v>
      </c>
      <c r="H85" s="13">
        <v>25447</v>
      </c>
      <c r="I85" s="10" t="s">
        <v>53</v>
      </c>
      <c r="J85" s="10" t="s">
        <v>46</v>
      </c>
      <c r="K85" s="10">
        <v>4</v>
      </c>
      <c r="L85" s="14">
        <v>35480</v>
      </c>
      <c r="M85" s="15">
        <f t="shared" si="2"/>
        <v>3548</v>
      </c>
      <c r="N85" s="15">
        <f t="shared" si="3"/>
        <v>39028</v>
      </c>
    </row>
    <row r="86" spans="1:14" x14ac:dyDescent="0.25">
      <c r="A86" t="s">
        <v>244</v>
      </c>
      <c r="B86" t="s">
        <v>245</v>
      </c>
      <c r="C86" t="s">
        <v>61</v>
      </c>
      <c r="D86" t="s">
        <v>68</v>
      </c>
      <c r="E86" t="s">
        <v>97</v>
      </c>
      <c r="F86" s="13">
        <v>32971</v>
      </c>
      <c r="G86" t="s">
        <v>131</v>
      </c>
      <c r="H86" s="13">
        <v>24033</v>
      </c>
      <c r="I86" s="10" t="s">
        <v>45</v>
      </c>
      <c r="J86" s="10" t="s">
        <v>65</v>
      </c>
      <c r="K86" s="10">
        <v>0</v>
      </c>
      <c r="L86" s="14">
        <v>28044</v>
      </c>
      <c r="M86" s="15">
        <f t="shared" si="2"/>
        <v>2804.4</v>
      </c>
      <c r="N86" s="15">
        <f t="shared" si="3"/>
        <v>30848.400000000001</v>
      </c>
    </row>
    <row r="87" spans="1:14" x14ac:dyDescent="0.25">
      <c r="A87" t="s">
        <v>246</v>
      </c>
      <c r="B87" t="s">
        <v>247</v>
      </c>
      <c r="C87" t="s">
        <v>55</v>
      </c>
      <c r="D87" t="s">
        <v>56</v>
      </c>
      <c r="E87" t="s">
        <v>126</v>
      </c>
      <c r="F87" s="13">
        <v>30689</v>
      </c>
      <c r="G87" t="s">
        <v>52</v>
      </c>
      <c r="H87" s="13">
        <v>18061</v>
      </c>
      <c r="I87" s="10" t="s">
        <v>89</v>
      </c>
      <c r="J87" s="10" t="s">
        <v>46</v>
      </c>
      <c r="K87" s="10">
        <v>4</v>
      </c>
      <c r="L87" s="14">
        <v>67535</v>
      </c>
      <c r="M87" s="15">
        <f t="shared" si="2"/>
        <v>6753.5</v>
      </c>
      <c r="N87" s="15">
        <f t="shared" si="3"/>
        <v>74288.5</v>
      </c>
    </row>
    <row r="88" spans="1:14" x14ac:dyDescent="0.25">
      <c r="A88" t="s">
        <v>248</v>
      </c>
      <c r="B88" t="s">
        <v>249</v>
      </c>
      <c r="C88" t="s">
        <v>49</v>
      </c>
      <c r="D88" t="s">
        <v>114</v>
      </c>
      <c r="E88" t="s">
        <v>155</v>
      </c>
      <c r="F88" s="13">
        <v>31681</v>
      </c>
      <c r="G88" t="s">
        <v>79</v>
      </c>
      <c r="H88" s="13">
        <v>23694</v>
      </c>
      <c r="I88" s="10" t="s">
        <v>89</v>
      </c>
      <c r="J88" s="10" t="s">
        <v>65</v>
      </c>
      <c r="K88" s="10">
        <v>1</v>
      </c>
      <c r="L88" s="14">
        <v>43487</v>
      </c>
      <c r="M88" s="15">
        <f t="shared" si="2"/>
        <v>4348.7</v>
      </c>
      <c r="N88" s="15">
        <f t="shared" si="3"/>
        <v>47835.7</v>
      </c>
    </row>
    <row r="89" spans="1:14" x14ac:dyDescent="0.25">
      <c r="A89" t="s">
        <v>250</v>
      </c>
      <c r="B89" t="s">
        <v>251</v>
      </c>
      <c r="C89" t="s">
        <v>55</v>
      </c>
      <c r="D89" t="s">
        <v>42</v>
      </c>
      <c r="E89" t="s">
        <v>115</v>
      </c>
      <c r="F89" s="13">
        <v>31217</v>
      </c>
      <c r="G89" t="s">
        <v>143</v>
      </c>
      <c r="H89" s="13">
        <v>22943</v>
      </c>
      <c r="I89" s="10" t="s">
        <v>45</v>
      </c>
      <c r="J89" s="10" t="s">
        <v>65</v>
      </c>
      <c r="K89" s="10">
        <v>0</v>
      </c>
      <c r="L89" s="14">
        <v>29983</v>
      </c>
      <c r="M89" s="15">
        <f t="shared" si="2"/>
        <v>2998.3</v>
      </c>
      <c r="N89" s="15">
        <f t="shared" si="3"/>
        <v>32981.300000000003</v>
      </c>
    </row>
    <row r="90" spans="1:14" x14ac:dyDescent="0.25">
      <c r="A90" t="s">
        <v>252</v>
      </c>
      <c r="B90" t="s">
        <v>253</v>
      </c>
      <c r="C90" t="s">
        <v>49</v>
      </c>
      <c r="D90" t="s">
        <v>129</v>
      </c>
      <c r="E90" t="s">
        <v>74</v>
      </c>
      <c r="F90" s="13">
        <v>28376</v>
      </c>
      <c r="G90" t="s">
        <v>79</v>
      </c>
      <c r="H90" s="13">
        <v>24906</v>
      </c>
      <c r="I90" s="10" t="s">
        <v>53</v>
      </c>
      <c r="J90" s="10" t="s">
        <v>46</v>
      </c>
      <c r="K90" s="10">
        <v>5</v>
      </c>
      <c r="L90" s="14">
        <v>34689</v>
      </c>
      <c r="M90" s="15">
        <f t="shared" si="2"/>
        <v>3468.9</v>
      </c>
      <c r="N90" s="15">
        <f t="shared" si="3"/>
        <v>38157.9</v>
      </c>
    </row>
    <row r="91" spans="1:14" x14ac:dyDescent="0.25">
      <c r="A91" t="s">
        <v>254</v>
      </c>
      <c r="B91" t="s">
        <v>255</v>
      </c>
      <c r="C91" t="s">
        <v>73</v>
      </c>
      <c r="D91" t="s">
        <v>82</v>
      </c>
      <c r="E91" t="s">
        <v>51</v>
      </c>
      <c r="F91" s="13">
        <v>32855</v>
      </c>
      <c r="G91" t="s">
        <v>44</v>
      </c>
      <c r="H91" s="13">
        <v>24009</v>
      </c>
      <c r="I91" s="10" t="s">
        <v>89</v>
      </c>
      <c r="J91" s="10" t="s">
        <v>46</v>
      </c>
      <c r="K91" s="10">
        <v>4</v>
      </c>
      <c r="L91" s="14">
        <v>30452</v>
      </c>
      <c r="M91" s="15">
        <f t="shared" si="2"/>
        <v>3045.2000000000003</v>
      </c>
      <c r="N91" s="15">
        <f t="shared" si="3"/>
        <v>33497.199999999997</v>
      </c>
    </row>
    <row r="92" spans="1:14" x14ac:dyDescent="0.25">
      <c r="A92" t="s">
        <v>256</v>
      </c>
      <c r="B92" t="s">
        <v>257</v>
      </c>
      <c r="C92" t="s">
        <v>49</v>
      </c>
      <c r="D92" t="s">
        <v>258</v>
      </c>
      <c r="E92" t="s">
        <v>130</v>
      </c>
      <c r="F92" s="13">
        <v>31043</v>
      </c>
      <c r="G92" t="s">
        <v>44</v>
      </c>
      <c r="H92" s="13">
        <v>23002</v>
      </c>
      <c r="I92" s="10" t="s">
        <v>64</v>
      </c>
      <c r="J92" s="10" t="s">
        <v>46</v>
      </c>
      <c r="K92" s="10">
        <v>0</v>
      </c>
      <c r="L92" s="14">
        <v>77179</v>
      </c>
      <c r="M92" s="15">
        <f t="shared" si="2"/>
        <v>7717.9000000000005</v>
      </c>
      <c r="N92" s="15">
        <f t="shared" si="3"/>
        <v>84896.9</v>
      </c>
    </row>
    <row r="93" spans="1:14" x14ac:dyDescent="0.25">
      <c r="A93" t="s">
        <v>259</v>
      </c>
      <c r="B93" t="s">
        <v>54</v>
      </c>
      <c r="C93" t="s">
        <v>49</v>
      </c>
      <c r="D93" t="s">
        <v>42</v>
      </c>
      <c r="E93" t="s">
        <v>74</v>
      </c>
      <c r="F93" s="13">
        <v>30900</v>
      </c>
      <c r="G93" t="s">
        <v>70</v>
      </c>
      <c r="H93" s="13">
        <v>23918</v>
      </c>
      <c r="I93" s="10" t="s">
        <v>89</v>
      </c>
      <c r="J93" s="10" t="s">
        <v>46</v>
      </c>
      <c r="K93" s="10">
        <v>4</v>
      </c>
      <c r="L93" s="14">
        <v>27081</v>
      </c>
      <c r="M93" s="15">
        <f t="shared" si="2"/>
        <v>2708.1000000000004</v>
      </c>
      <c r="N93" s="15">
        <f t="shared" si="3"/>
        <v>29789.1</v>
      </c>
    </row>
    <row r="94" spans="1:14" x14ac:dyDescent="0.25">
      <c r="A94" t="s">
        <v>260</v>
      </c>
      <c r="B94" t="s">
        <v>91</v>
      </c>
      <c r="C94" t="s">
        <v>49</v>
      </c>
      <c r="D94" t="s">
        <v>258</v>
      </c>
      <c r="E94" t="s">
        <v>191</v>
      </c>
      <c r="F94" s="13">
        <v>29863</v>
      </c>
      <c r="G94" t="s">
        <v>116</v>
      </c>
      <c r="H94" s="13">
        <v>18696</v>
      </c>
      <c r="I94" s="10" t="s">
        <v>53</v>
      </c>
      <c r="J94" s="10" t="s">
        <v>46</v>
      </c>
      <c r="K94" s="10">
        <v>4</v>
      </c>
      <c r="L94" s="14">
        <v>104565</v>
      </c>
      <c r="M94" s="15">
        <f t="shared" si="2"/>
        <v>10456.5</v>
      </c>
      <c r="N94" s="15">
        <f t="shared" si="3"/>
        <v>115021.5</v>
      </c>
    </row>
    <row r="95" spans="1:14" x14ac:dyDescent="0.25">
      <c r="A95" t="s">
        <v>260</v>
      </c>
      <c r="B95" t="s">
        <v>261</v>
      </c>
      <c r="C95" t="s">
        <v>41</v>
      </c>
      <c r="D95" t="s">
        <v>50</v>
      </c>
      <c r="E95" t="s">
        <v>130</v>
      </c>
      <c r="F95" s="13">
        <v>28533</v>
      </c>
      <c r="G95" t="s">
        <v>146</v>
      </c>
      <c r="H95" s="13">
        <v>20252</v>
      </c>
      <c r="I95" s="10" t="s">
        <v>45</v>
      </c>
      <c r="J95" s="10" t="s">
        <v>46</v>
      </c>
      <c r="K95" s="10">
        <v>1</v>
      </c>
      <c r="L95" s="14">
        <v>79061</v>
      </c>
      <c r="M95" s="15">
        <f t="shared" si="2"/>
        <v>7906.1</v>
      </c>
      <c r="N95" s="15">
        <f t="shared" si="3"/>
        <v>86967.1</v>
      </c>
    </row>
    <row r="96" spans="1:14" x14ac:dyDescent="0.25">
      <c r="A96" t="s">
        <v>262</v>
      </c>
      <c r="B96" t="s">
        <v>263</v>
      </c>
      <c r="C96" t="s">
        <v>149</v>
      </c>
      <c r="D96" t="s">
        <v>181</v>
      </c>
      <c r="E96" t="s">
        <v>74</v>
      </c>
      <c r="F96" s="13">
        <v>33559</v>
      </c>
      <c r="G96" t="s">
        <v>123</v>
      </c>
      <c r="H96" s="13">
        <v>25327</v>
      </c>
      <c r="I96" s="10" t="s">
        <v>45</v>
      </c>
      <c r="J96" s="10" t="s">
        <v>46</v>
      </c>
      <c r="K96" s="10">
        <v>2</v>
      </c>
      <c r="L96" s="14">
        <v>23239</v>
      </c>
      <c r="M96" s="15">
        <f t="shared" si="2"/>
        <v>2323.9</v>
      </c>
      <c r="N96" s="15">
        <f t="shared" si="3"/>
        <v>25562.9</v>
      </c>
    </row>
    <row r="97" spans="1:14" x14ac:dyDescent="0.25">
      <c r="A97" t="s">
        <v>264</v>
      </c>
      <c r="B97" t="s">
        <v>265</v>
      </c>
      <c r="C97" t="s">
        <v>55</v>
      </c>
      <c r="D97" t="s">
        <v>77</v>
      </c>
      <c r="E97" t="s">
        <v>69</v>
      </c>
      <c r="F97" s="13">
        <v>30931</v>
      </c>
      <c r="G97" t="s">
        <v>79</v>
      </c>
      <c r="H97" s="13">
        <v>19972</v>
      </c>
      <c r="I97" s="10" t="s">
        <v>53</v>
      </c>
      <c r="J97" s="10" t="s">
        <v>46</v>
      </c>
      <c r="K97" s="10">
        <v>5</v>
      </c>
      <c r="L97" s="14">
        <v>58358</v>
      </c>
      <c r="M97" s="15">
        <f t="shared" si="2"/>
        <v>5835.8</v>
      </c>
      <c r="N97" s="15">
        <f t="shared" si="3"/>
        <v>64193.8</v>
      </c>
    </row>
    <row r="98" spans="1:14" x14ac:dyDescent="0.25">
      <c r="A98" t="s">
        <v>264</v>
      </c>
      <c r="B98" t="s">
        <v>266</v>
      </c>
      <c r="C98" t="s">
        <v>61</v>
      </c>
      <c r="D98" t="s">
        <v>68</v>
      </c>
      <c r="E98" t="s">
        <v>111</v>
      </c>
      <c r="F98" s="13">
        <v>33710</v>
      </c>
      <c r="G98" t="s">
        <v>86</v>
      </c>
      <c r="H98" s="13">
        <v>23767</v>
      </c>
      <c r="I98" s="10" t="s">
        <v>53</v>
      </c>
      <c r="J98" s="10" t="s">
        <v>46</v>
      </c>
      <c r="K98" s="10">
        <v>5</v>
      </c>
      <c r="L98" s="14">
        <v>28044</v>
      </c>
      <c r="M98" s="15">
        <f t="shared" si="2"/>
        <v>2804.4</v>
      </c>
      <c r="N98" s="15">
        <f t="shared" si="3"/>
        <v>30848.400000000001</v>
      </c>
    </row>
    <row r="99" spans="1:14" x14ac:dyDescent="0.25">
      <c r="A99" t="s">
        <v>267</v>
      </c>
      <c r="B99" t="s">
        <v>190</v>
      </c>
      <c r="C99" t="s">
        <v>73</v>
      </c>
      <c r="D99" t="s">
        <v>82</v>
      </c>
      <c r="E99" t="s">
        <v>126</v>
      </c>
      <c r="F99" s="13">
        <v>32117</v>
      </c>
      <c r="G99" t="s">
        <v>44</v>
      </c>
      <c r="H99" s="13">
        <v>23294</v>
      </c>
      <c r="I99" s="10" t="s">
        <v>89</v>
      </c>
      <c r="J99" s="10" t="s">
        <v>65</v>
      </c>
      <c r="K99" s="10">
        <v>4</v>
      </c>
      <c r="L99" s="14">
        <v>32627</v>
      </c>
      <c r="M99" s="15">
        <f t="shared" si="2"/>
        <v>3262.7000000000003</v>
      </c>
      <c r="N99" s="15">
        <f t="shared" si="3"/>
        <v>35889.699999999997</v>
      </c>
    </row>
    <row r="100" spans="1:14" x14ac:dyDescent="0.25">
      <c r="A100" t="s">
        <v>268</v>
      </c>
      <c r="B100" t="s">
        <v>269</v>
      </c>
      <c r="C100" t="s">
        <v>49</v>
      </c>
      <c r="D100" t="s">
        <v>42</v>
      </c>
      <c r="E100" t="s">
        <v>51</v>
      </c>
      <c r="F100" s="13">
        <v>32779</v>
      </c>
      <c r="G100" t="s">
        <v>79</v>
      </c>
      <c r="H100" s="13">
        <v>22161</v>
      </c>
      <c r="I100" s="10" t="s">
        <v>89</v>
      </c>
      <c r="J100" s="10" t="s">
        <v>65</v>
      </c>
      <c r="K100" s="10">
        <v>2</v>
      </c>
      <c r="L100" s="14">
        <v>31917</v>
      </c>
      <c r="M100" s="15">
        <f t="shared" si="2"/>
        <v>3191.7000000000003</v>
      </c>
      <c r="N100" s="15">
        <f t="shared" si="3"/>
        <v>35108.699999999997</v>
      </c>
    </row>
    <row r="101" spans="1:14" x14ac:dyDescent="0.25">
      <c r="A101" t="s">
        <v>270</v>
      </c>
      <c r="B101" t="s">
        <v>261</v>
      </c>
      <c r="C101" t="s">
        <v>49</v>
      </c>
      <c r="D101" t="s">
        <v>50</v>
      </c>
      <c r="E101" t="s">
        <v>51</v>
      </c>
      <c r="F101" s="13">
        <v>28523</v>
      </c>
      <c r="G101" t="s">
        <v>146</v>
      </c>
      <c r="H101" s="13">
        <v>19877</v>
      </c>
      <c r="I101" s="10" t="s">
        <v>53</v>
      </c>
      <c r="J101" s="10" t="s">
        <v>46</v>
      </c>
      <c r="K101" s="10">
        <v>3</v>
      </c>
      <c r="L101" s="14">
        <v>97096</v>
      </c>
      <c r="M101" s="15">
        <f t="shared" si="2"/>
        <v>9709.6</v>
      </c>
      <c r="N101" s="15">
        <f t="shared" si="3"/>
        <v>106805.6</v>
      </c>
    </row>
    <row r="102" spans="1:14" x14ac:dyDescent="0.25">
      <c r="A102" t="s">
        <v>270</v>
      </c>
      <c r="B102" t="s">
        <v>271</v>
      </c>
      <c r="C102" t="s">
        <v>55</v>
      </c>
      <c r="D102" t="s">
        <v>56</v>
      </c>
      <c r="E102" t="s">
        <v>126</v>
      </c>
      <c r="F102" s="13">
        <v>31452</v>
      </c>
      <c r="G102" t="s">
        <v>131</v>
      </c>
      <c r="H102" s="13">
        <v>22071</v>
      </c>
      <c r="I102" s="10" t="s">
        <v>45</v>
      </c>
      <c r="J102" s="10" t="s">
        <v>65</v>
      </c>
      <c r="K102" s="10">
        <v>6</v>
      </c>
      <c r="L102" s="14">
        <v>50651</v>
      </c>
      <c r="M102" s="15">
        <f t="shared" si="2"/>
        <v>5065.1000000000004</v>
      </c>
      <c r="N102" s="15">
        <f t="shared" si="3"/>
        <v>55716.1</v>
      </c>
    </row>
    <row r="103" spans="1:14" x14ac:dyDescent="0.25">
      <c r="A103" t="s">
        <v>270</v>
      </c>
      <c r="B103" t="s">
        <v>272</v>
      </c>
      <c r="C103" t="s">
        <v>49</v>
      </c>
      <c r="D103" t="s">
        <v>129</v>
      </c>
      <c r="E103" t="s">
        <v>115</v>
      </c>
      <c r="F103" s="13">
        <v>33346</v>
      </c>
      <c r="G103" t="s">
        <v>58</v>
      </c>
      <c r="H103" s="13">
        <v>25746</v>
      </c>
      <c r="I103" s="10" t="s">
        <v>53</v>
      </c>
      <c r="J103" s="10" t="s">
        <v>65</v>
      </c>
      <c r="K103" s="10">
        <v>0</v>
      </c>
      <c r="L103" s="14">
        <v>31914</v>
      </c>
      <c r="M103" s="15">
        <f t="shared" si="2"/>
        <v>3191.4</v>
      </c>
      <c r="N103" s="15">
        <f t="shared" si="3"/>
        <v>35105.4</v>
      </c>
    </row>
    <row r="104" spans="1:14" x14ac:dyDescent="0.25">
      <c r="A104" t="s">
        <v>273</v>
      </c>
      <c r="B104" t="s">
        <v>274</v>
      </c>
      <c r="C104" t="s">
        <v>61</v>
      </c>
      <c r="D104" t="s">
        <v>96</v>
      </c>
      <c r="E104" t="s">
        <v>140</v>
      </c>
      <c r="F104" s="13">
        <v>30378</v>
      </c>
      <c r="G104" t="s">
        <v>58</v>
      </c>
      <c r="H104" s="13">
        <v>21689</v>
      </c>
      <c r="I104" s="10" t="s">
        <v>53</v>
      </c>
      <c r="J104" s="10" t="s">
        <v>65</v>
      </c>
      <c r="K104" s="10">
        <v>3</v>
      </c>
      <c r="L104" s="14">
        <v>57756</v>
      </c>
      <c r="M104" s="15">
        <f t="shared" si="2"/>
        <v>5775.6</v>
      </c>
      <c r="N104" s="15">
        <f t="shared" si="3"/>
        <v>63531.6</v>
      </c>
    </row>
    <row r="105" spans="1:14" x14ac:dyDescent="0.25">
      <c r="A105" t="s">
        <v>275</v>
      </c>
      <c r="B105" t="s">
        <v>276</v>
      </c>
      <c r="C105" t="s">
        <v>55</v>
      </c>
      <c r="D105" t="s">
        <v>92</v>
      </c>
      <c r="E105" t="s">
        <v>78</v>
      </c>
      <c r="F105" s="13">
        <v>32863</v>
      </c>
      <c r="G105" t="s">
        <v>44</v>
      </c>
      <c r="H105" s="13">
        <v>23998</v>
      </c>
      <c r="I105" s="10" t="s">
        <v>64</v>
      </c>
      <c r="J105" s="10" t="s">
        <v>65</v>
      </c>
      <c r="K105" s="10">
        <v>0</v>
      </c>
      <c r="L105" s="14">
        <v>24854</v>
      </c>
      <c r="M105" s="15">
        <f t="shared" si="2"/>
        <v>2485.4</v>
      </c>
      <c r="N105" s="15">
        <f t="shared" si="3"/>
        <v>27339.4</v>
      </c>
    </row>
    <row r="106" spans="1:14" x14ac:dyDescent="0.25">
      <c r="A106" t="s">
        <v>277</v>
      </c>
      <c r="B106" t="s">
        <v>278</v>
      </c>
      <c r="C106" t="s">
        <v>49</v>
      </c>
      <c r="D106" t="s">
        <v>114</v>
      </c>
      <c r="E106" t="s">
        <v>43</v>
      </c>
      <c r="F106" s="13">
        <v>33094</v>
      </c>
      <c r="G106" t="s">
        <v>70</v>
      </c>
      <c r="H106" s="13">
        <v>22074</v>
      </c>
      <c r="I106" s="10" t="s">
        <v>89</v>
      </c>
      <c r="J106" s="10" t="s">
        <v>65</v>
      </c>
      <c r="K106" s="10">
        <v>5</v>
      </c>
      <c r="L106" s="14">
        <v>49485</v>
      </c>
      <c r="M106" s="15">
        <f t="shared" si="2"/>
        <v>4948.5</v>
      </c>
      <c r="N106" s="15">
        <f t="shared" si="3"/>
        <v>54433.5</v>
      </c>
    </row>
    <row r="107" spans="1:14" x14ac:dyDescent="0.25">
      <c r="A107" t="s">
        <v>279</v>
      </c>
      <c r="B107" t="s">
        <v>280</v>
      </c>
      <c r="C107" t="s">
        <v>55</v>
      </c>
      <c r="D107" t="s">
        <v>42</v>
      </c>
      <c r="E107" t="s">
        <v>111</v>
      </c>
      <c r="F107" s="13">
        <v>32979</v>
      </c>
      <c r="G107" t="s">
        <v>58</v>
      </c>
      <c r="H107" s="13">
        <v>22890</v>
      </c>
      <c r="I107" s="10" t="s">
        <v>45</v>
      </c>
      <c r="J107" s="10" t="s">
        <v>65</v>
      </c>
      <c r="K107" s="10">
        <v>1</v>
      </c>
      <c r="L107" s="14">
        <v>29983</v>
      </c>
      <c r="M107" s="15">
        <f t="shared" si="2"/>
        <v>2998.3</v>
      </c>
      <c r="N107" s="15">
        <f t="shared" si="3"/>
        <v>32981.300000000003</v>
      </c>
    </row>
    <row r="108" spans="1:14" x14ac:dyDescent="0.25">
      <c r="A108" t="s">
        <v>281</v>
      </c>
      <c r="B108" t="s">
        <v>282</v>
      </c>
      <c r="C108" t="s">
        <v>149</v>
      </c>
      <c r="D108" t="s">
        <v>181</v>
      </c>
      <c r="E108" t="s">
        <v>51</v>
      </c>
      <c r="F108" s="13">
        <v>33823</v>
      </c>
      <c r="G108" t="s">
        <v>70</v>
      </c>
      <c r="H108" s="13">
        <v>25443</v>
      </c>
      <c r="I108" s="10" t="s">
        <v>53</v>
      </c>
      <c r="J108" s="10" t="s">
        <v>65</v>
      </c>
      <c r="K108" s="10">
        <v>1</v>
      </c>
      <c r="L108" s="14">
        <v>23239</v>
      </c>
      <c r="M108" s="15">
        <f t="shared" si="2"/>
        <v>2323.9</v>
      </c>
      <c r="N108" s="15">
        <f t="shared" si="3"/>
        <v>25562.9</v>
      </c>
    </row>
    <row r="109" spans="1:14" x14ac:dyDescent="0.25">
      <c r="A109" t="s">
        <v>283</v>
      </c>
      <c r="B109" t="s">
        <v>284</v>
      </c>
      <c r="C109" t="s">
        <v>55</v>
      </c>
      <c r="D109" t="s">
        <v>105</v>
      </c>
      <c r="E109" t="s">
        <v>74</v>
      </c>
      <c r="F109" s="13">
        <v>30020</v>
      </c>
      <c r="G109" t="s">
        <v>116</v>
      </c>
      <c r="H109" s="13">
        <v>22953</v>
      </c>
      <c r="I109" s="10" t="s">
        <v>45</v>
      </c>
      <c r="J109" s="10" t="s">
        <v>65</v>
      </c>
      <c r="K109" s="10">
        <v>5</v>
      </c>
      <c r="L109" s="14">
        <v>61856</v>
      </c>
      <c r="M109" s="15">
        <f t="shared" si="2"/>
        <v>6185.6</v>
      </c>
      <c r="N109" s="15">
        <f t="shared" si="3"/>
        <v>68041.600000000006</v>
      </c>
    </row>
    <row r="110" spans="1:14" x14ac:dyDescent="0.25">
      <c r="A110" t="s">
        <v>285</v>
      </c>
      <c r="B110" t="s">
        <v>175</v>
      </c>
      <c r="C110" t="s">
        <v>49</v>
      </c>
      <c r="D110" t="s">
        <v>114</v>
      </c>
      <c r="E110" t="s">
        <v>167</v>
      </c>
      <c r="F110" s="13">
        <v>28531</v>
      </c>
      <c r="G110" t="s">
        <v>119</v>
      </c>
      <c r="H110" s="13">
        <v>23883</v>
      </c>
      <c r="I110" s="10" t="s">
        <v>53</v>
      </c>
      <c r="J110" s="10" t="s">
        <v>46</v>
      </c>
      <c r="K110" s="10">
        <v>2</v>
      </c>
      <c r="L110" s="14">
        <v>58482</v>
      </c>
      <c r="M110" s="15">
        <f t="shared" si="2"/>
        <v>5848.2000000000007</v>
      </c>
      <c r="N110" s="15">
        <f t="shared" si="3"/>
        <v>64330.2</v>
      </c>
    </row>
    <row r="111" spans="1:14" x14ac:dyDescent="0.25">
      <c r="A111" t="s">
        <v>286</v>
      </c>
      <c r="B111" t="s">
        <v>287</v>
      </c>
      <c r="C111" t="s">
        <v>55</v>
      </c>
      <c r="D111" t="s">
        <v>56</v>
      </c>
      <c r="E111" t="s">
        <v>93</v>
      </c>
      <c r="F111" s="13">
        <v>31538</v>
      </c>
      <c r="G111" t="s">
        <v>44</v>
      </c>
      <c r="H111" s="13">
        <v>17751</v>
      </c>
      <c r="I111" s="10" t="s">
        <v>45</v>
      </c>
      <c r="J111" s="10" t="s">
        <v>65</v>
      </c>
      <c r="K111" s="10">
        <v>4</v>
      </c>
      <c r="L111" s="14">
        <v>69070</v>
      </c>
      <c r="M111" s="15">
        <f t="shared" si="2"/>
        <v>6907</v>
      </c>
      <c r="N111" s="15">
        <f t="shared" si="3"/>
        <v>75977</v>
      </c>
    </row>
    <row r="112" spans="1:14" x14ac:dyDescent="0.25">
      <c r="A112" t="s">
        <v>288</v>
      </c>
      <c r="B112" t="s">
        <v>289</v>
      </c>
      <c r="C112" t="s">
        <v>55</v>
      </c>
      <c r="D112" t="s">
        <v>108</v>
      </c>
      <c r="E112" t="s">
        <v>51</v>
      </c>
      <c r="F112" s="13">
        <v>32979</v>
      </c>
      <c r="G112" t="s">
        <v>146</v>
      </c>
      <c r="H112" s="13">
        <v>24022</v>
      </c>
      <c r="I112" s="10" t="s">
        <v>89</v>
      </c>
      <c r="J112" s="10" t="s">
        <v>46</v>
      </c>
      <c r="K112" s="10">
        <v>0</v>
      </c>
      <c r="L112" s="14">
        <v>29362</v>
      </c>
      <c r="M112" s="15">
        <f t="shared" si="2"/>
        <v>2936.2000000000003</v>
      </c>
      <c r="N112" s="15">
        <f t="shared" si="3"/>
        <v>32298.2</v>
      </c>
    </row>
    <row r="113" spans="1:14" x14ac:dyDescent="0.25">
      <c r="A113" t="s">
        <v>290</v>
      </c>
      <c r="B113" t="s">
        <v>291</v>
      </c>
      <c r="C113" t="s">
        <v>41</v>
      </c>
      <c r="D113" t="s">
        <v>42</v>
      </c>
      <c r="E113" t="s">
        <v>74</v>
      </c>
      <c r="F113" s="13">
        <v>30386</v>
      </c>
      <c r="G113" t="s">
        <v>131</v>
      </c>
      <c r="H113" s="13">
        <v>21678</v>
      </c>
      <c r="I113" s="10" t="s">
        <v>53</v>
      </c>
      <c r="J113" s="10" t="s">
        <v>65</v>
      </c>
      <c r="K113" s="10">
        <v>3</v>
      </c>
      <c r="L113" s="14">
        <v>32884</v>
      </c>
      <c r="M113" s="15">
        <f t="shared" si="2"/>
        <v>3288.4</v>
      </c>
      <c r="N113" s="15">
        <f t="shared" si="3"/>
        <v>36172.400000000001</v>
      </c>
    </row>
    <row r="114" spans="1:14" x14ac:dyDescent="0.25">
      <c r="A114" t="s">
        <v>292</v>
      </c>
      <c r="B114" t="s">
        <v>293</v>
      </c>
      <c r="C114" t="s">
        <v>49</v>
      </c>
      <c r="D114" t="s">
        <v>42</v>
      </c>
      <c r="E114" t="s">
        <v>78</v>
      </c>
      <c r="F114" s="13">
        <v>32125</v>
      </c>
      <c r="G114" t="s">
        <v>44</v>
      </c>
      <c r="H114" s="13">
        <v>23283</v>
      </c>
      <c r="I114" s="10" t="s">
        <v>45</v>
      </c>
      <c r="J114" s="10" t="s">
        <v>46</v>
      </c>
      <c r="K114" s="10">
        <v>3</v>
      </c>
      <c r="L114" s="14">
        <v>29015</v>
      </c>
      <c r="M114" s="15">
        <f t="shared" si="2"/>
        <v>2901.5</v>
      </c>
      <c r="N114" s="15">
        <f t="shared" si="3"/>
        <v>31916.5</v>
      </c>
    </row>
    <row r="115" spans="1:14" x14ac:dyDescent="0.25">
      <c r="A115" t="s">
        <v>294</v>
      </c>
      <c r="B115" t="s">
        <v>295</v>
      </c>
      <c r="C115" t="s">
        <v>73</v>
      </c>
      <c r="D115" t="s">
        <v>171</v>
      </c>
      <c r="E115" t="s">
        <v>191</v>
      </c>
      <c r="F115" s="13">
        <v>31112</v>
      </c>
      <c r="G115" t="s">
        <v>79</v>
      </c>
      <c r="H115" s="13">
        <v>23188</v>
      </c>
      <c r="I115" s="10" t="s">
        <v>53</v>
      </c>
      <c r="J115" s="10" t="s">
        <v>46</v>
      </c>
      <c r="K115" s="10">
        <v>0</v>
      </c>
      <c r="L115" s="14">
        <v>28550</v>
      </c>
      <c r="M115" s="15">
        <f t="shared" si="2"/>
        <v>2855</v>
      </c>
      <c r="N115" s="15">
        <f t="shared" si="3"/>
        <v>31405</v>
      </c>
    </row>
    <row r="116" spans="1:14" x14ac:dyDescent="0.25">
      <c r="A116" t="s">
        <v>294</v>
      </c>
      <c r="B116" t="s">
        <v>137</v>
      </c>
      <c r="C116" t="s">
        <v>73</v>
      </c>
      <c r="D116" t="s">
        <v>171</v>
      </c>
      <c r="E116" t="s">
        <v>167</v>
      </c>
      <c r="F116" s="13">
        <v>33688</v>
      </c>
      <c r="G116" t="s">
        <v>119</v>
      </c>
      <c r="H116" s="13">
        <v>24053</v>
      </c>
      <c r="I116" s="10" t="s">
        <v>89</v>
      </c>
      <c r="J116" s="10" t="s">
        <v>46</v>
      </c>
      <c r="K116" s="10">
        <v>0</v>
      </c>
      <c r="L116" s="14">
        <v>27598</v>
      </c>
      <c r="M116" s="15">
        <f t="shared" si="2"/>
        <v>2759.8</v>
      </c>
      <c r="N116" s="15">
        <f t="shared" si="3"/>
        <v>30357.8</v>
      </c>
    </row>
    <row r="117" spans="1:14" x14ac:dyDescent="0.25">
      <c r="A117" t="s">
        <v>296</v>
      </c>
      <c r="B117" t="s">
        <v>297</v>
      </c>
      <c r="C117" t="s">
        <v>55</v>
      </c>
      <c r="D117" t="s">
        <v>42</v>
      </c>
      <c r="E117" t="s">
        <v>167</v>
      </c>
      <c r="F117" s="13">
        <v>31805</v>
      </c>
      <c r="G117" t="s">
        <v>131</v>
      </c>
      <c r="H117" s="13">
        <v>24476</v>
      </c>
      <c r="I117" s="10" t="s">
        <v>89</v>
      </c>
      <c r="J117" s="10" t="s">
        <v>46</v>
      </c>
      <c r="K117" s="10">
        <v>1</v>
      </c>
      <c r="L117" s="14">
        <v>25147</v>
      </c>
      <c r="M117" s="15">
        <f t="shared" si="2"/>
        <v>2514.7000000000003</v>
      </c>
      <c r="N117" s="15">
        <f t="shared" si="3"/>
        <v>27661.7</v>
      </c>
    </row>
    <row r="118" spans="1:14" x14ac:dyDescent="0.25">
      <c r="A118" t="s">
        <v>298</v>
      </c>
      <c r="B118" t="s">
        <v>299</v>
      </c>
      <c r="C118" t="s">
        <v>55</v>
      </c>
      <c r="D118" t="s">
        <v>68</v>
      </c>
      <c r="E118" t="s">
        <v>191</v>
      </c>
      <c r="F118" s="13">
        <v>33338</v>
      </c>
      <c r="G118" t="s">
        <v>119</v>
      </c>
      <c r="H118" s="13">
        <v>25757</v>
      </c>
      <c r="I118" s="10" t="s">
        <v>53</v>
      </c>
      <c r="J118" s="10" t="s">
        <v>46</v>
      </c>
      <c r="K118" s="10">
        <v>3</v>
      </c>
      <c r="L118" s="14">
        <v>23036</v>
      </c>
      <c r="M118" s="15">
        <f t="shared" si="2"/>
        <v>2303.6</v>
      </c>
      <c r="N118" s="15">
        <f t="shared" si="3"/>
        <v>25339.599999999999</v>
      </c>
    </row>
    <row r="119" spans="1:14" x14ac:dyDescent="0.25">
      <c r="A119" t="s">
        <v>300</v>
      </c>
      <c r="B119" t="s">
        <v>301</v>
      </c>
      <c r="C119" t="s">
        <v>55</v>
      </c>
      <c r="D119" t="s">
        <v>108</v>
      </c>
      <c r="E119" t="s">
        <v>155</v>
      </c>
      <c r="F119" s="13">
        <v>32561</v>
      </c>
      <c r="G119" t="s">
        <v>131</v>
      </c>
      <c r="H119" s="13">
        <v>23503</v>
      </c>
      <c r="I119" s="10" t="s">
        <v>89</v>
      </c>
      <c r="J119" s="10" t="s">
        <v>65</v>
      </c>
      <c r="K119" s="10">
        <v>0</v>
      </c>
      <c r="L119" s="14">
        <v>30411</v>
      </c>
      <c r="M119" s="15">
        <f t="shared" si="2"/>
        <v>3041.1000000000004</v>
      </c>
      <c r="N119" s="15">
        <f t="shared" si="3"/>
        <v>33452.1</v>
      </c>
    </row>
    <row r="120" spans="1:14" x14ac:dyDescent="0.25">
      <c r="A120" t="s">
        <v>302</v>
      </c>
      <c r="B120" t="s">
        <v>211</v>
      </c>
      <c r="C120" t="s">
        <v>73</v>
      </c>
      <c r="D120" t="s">
        <v>82</v>
      </c>
      <c r="E120" t="s">
        <v>69</v>
      </c>
      <c r="F120" s="13">
        <v>32679</v>
      </c>
      <c r="G120" t="s">
        <v>143</v>
      </c>
      <c r="H120" s="13">
        <v>25351</v>
      </c>
      <c r="I120" s="10" t="s">
        <v>53</v>
      </c>
      <c r="J120" s="10" t="s">
        <v>65</v>
      </c>
      <c r="K120" s="10">
        <v>0</v>
      </c>
      <c r="L120" s="14">
        <v>26101</v>
      </c>
      <c r="M120" s="15">
        <f t="shared" si="2"/>
        <v>2610.1000000000004</v>
      </c>
      <c r="N120" s="15">
        <f t="shared" si="3"/>
        <v>28711.1</v>
      </c>
    </row>
  </sheetData>
  <mergeCells count="1">
    <mergeCell ref="A1:N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61670-4C14-4544-9326-C283D011DE09}">
  <sheetPr codeName="Hoja4"/>
  <dimension ref="A1:J122"/>
  <sheetViews>
    <sheetView showGridLines="0" workbookViewId="0">
      <selection activeCell="F13" sqref="F13"/>
    </sheetView>
  </sheetViews>
  <sheetFormatPr baseColWidth="10" defaultRowHeight="15" x14ac:dyDescent="0.25"/>
  <cols>
    <col min="3" max="3" width="20" customWidth="1"/>
    <col min="4" max="4" width="15.140625" customWidth="1"/>
    <col min="6" max="6" width="16.140625" customWidth="1"/>
    <col min="10" max="10" width="20.42578125" bestFit="1" customWidth="1"/>
  </cols>
  <sheetData>
    <row r="1" spans="1:10" ht="15.75" thickBot="1" x14ac:dyDescent="0.3"/>
    <row r="2" spans="1:10" ht="19.5" thickBot="1" x14ac:dyDescent="0.35">
      <c r="A2" s="19" t="s">
        <v>303</v>
      </c>
      <c r="J2" s="34" t="s">
        <v>343</v>
      </c>
    </row>
    <row r="5" spans="1:10" x14ac:dyDescent="0.25">
      <c r="A5" s="16" t="s">
        <v>25</v>
      </c>
      <c r="B5" s="16" t="s">
        <v>26</v>
      </c>
      <c r="C5" s="16" t="s">
        <v>27</v>
      </c>
      <c r="D5" s="17" t="s">
        <v>36</v>
      </c>
      <c r="E5" s="17" t="s">
        <v>37</v>
      </c>
      <c r="F5" s="17" t="s">
        <v>38</v>
      </c>
      <c r="G5" s="18" t="s">
        <v>33</v>
      </c>
      <c r="H5" s="18" t="s">
        <v>34</v>
      </c>
      <c r="I5" s="18" t="s">
        <v>35</v>
      </c>
    </row>
    <row r="6" spans="1:10" x14ac:dyDescent="0.25">
      <c r="A6" s="10" t="s">
        <v>39</v>
      </c>
      <c r="B6" s="10" t="s">
        <v>40</v>
      </c>
      <c r="C6" s="10" t="s">
        <v>41</v>
      </c>
      <c r="D6" s="35">
        <v>24180</v>
      </c>
      <c r="E6" s="35">
        <v>2418</v>
      </c>
      <c r="F6" s="35">
        <v>26598</v>
      </c>
      <c r="G6" s="10" t="s">
        <v>45</v>
      </c>
      <c r="H6" s="10" t="s">
        <v>46</v>
      </c>
      <c r="I6" s="10">
        <v>4</v>
      </c>
    </row>
    <row r="7" spans="1:10" x14ac:dyDescent="0.25">
      <c r="A7" s="10" t="s">
        <v>47</v>
      </c>
      <c r="B7" s="10" t="s">
        <v>48</v>
      </c>
      <c r="C7" s="10" t="s">
        <v>49</v>
      </c>
      <c r="D7" s="35">
        <v>97096</v>
      </c>
      <c r="E7" s="35">
        <v>9709.6</v>
      </c>
      <c r="F7" s="35">
        <v>106805.6</v>
      </c>
      <c r="G7" s="10" t="s">
        <v>53</v>
      </c>
      <c r="H7" s="10" t="s">
        <v>46</v>
      </c>
      <c r="I7" s="10">
        <v>2</v>
      </c>
    </row>
    <row r="8" spans="1:10" x14ac:dyDescent="0.25">
      <c r="A8" s="10" t="s">
        <v>47</v>
      </c>
      <c r="B8" s="10" t="s">
        <v>54</v>
      </c>
      <c r="C8" s="10" t="s">
        <v>55</v>
      </c>
      <c r="D8" s="35">
        <v>58326</v>
      </c>
      <c r="E8" s="35">
        <v>5832.6</v>
      </c>
      <c r="F8" s="35">
        <v>64158.6</v>
      </c>
      <c r="G8" s="10" t="s">
        <v>53</v>
      </c>
      <c r="H8" s="10" t="s">
        <v>46</v>
      </c>
      <c r="I8" s="10">
        <v>1</v>
      </c>
    </row>
    <row r="9" spans="1:10" x14ac:dyDescent="0.25">
      <c r="A9" s="10" t="s">
        <v>59</v>
      </c>
      <c r="B9" s="10" t="s">
        <v>60</v>
      </c>
      <c r="C9" s="10" t="s">
        <v>61</v>
      </c>
      <c r="D9" s="35">
        <v>41053</v>
      </c>
      <c r="E9" s="35">
        <v>4105.3</v>
      </c>
      <c r="F9" s="35">
        <v>45158.3</v>
      </c>
      <c r="G9" s="10" t="s">
        <v>64</v>
      </c>
      <c r="H9" s="10" t="s">
        <v>65</v>
      </c>
      <c r="I9" s="10">
        <v>6</v>
      </c>
    </row>
    <row r="10" spans="1:10" x14ac:dyDescent="0.25">
      <c r="A10" s="10" t="s">
        <v>66</v>
      </c>
      <c r="B10" s="10" t="s">
        <v>67</v>
      </c>
      <c r="C10" s="10" t="s">
        <v>55</v>
      </c>
      <c r="D10" s="35">
        <v>33051</v>
      </c>
      <c r="E10" s="35">
        <v>3305.1</v>
      </c>
      <c r="F10" s="35">
        <v>36356.1</v>
      </c>
      <c r="G10" s="10" t="s">
        <v>45</v>
      </c>
      <c r="H10" s="10" t="s">
        <v>65</v>
      </c>
      <c r="I10" s="10">
        <v>4</v>
      </c>
    </row>
    <row r="11" spans="1:10" x14ac:dyDescent="0.25">
      <c r="A11" s="10" t="s">
        <v>71</v>
      </c>
      <c r="B11" s="10" t="s">
        <v>72</v>
      </c>
      <c r="C11" s="10" t="s">
        <v>73</v>
      </c>
      <c r="D11" s="35">
        <v>28044</v>
      </c>
      <c r="E11" s="35">
        <v>2804.4</v>
      </c>
      <c r="F11" s="35">
        <v>30848.400000000001</v>
      </c>
      <c r="G11" s="10" t="s">
        <v>64</v>
      </c>
      <c r="H11" s="10" t="s">
        <v>46</v>
      </c>
      <c r="I11" s="10">
        <v>1</v>
      </c>
    </row>
    <row r="12" spans="1:10" x14ac:dyDescent="0.25">
      <c r="A12" s="10" t="s">
        <v>75</v>
      </c>
      <c r="B12" s="10" t="s">
        <v>76</v>
      </c>
      <c r="C12" s="10" t="s">
        <v>55</v>
      </c>
      <c r="D12" s="35">
        <v>47883</v>
      </c>
      <c r="E12" s="35">
        <v>4788.3</v>
      </c>
      <c r="F12" s="35">
        <v>52671.3</v>
      </c>
      <c r="G12" s="10" t="s">
        <v>64</v>
      </c>
      <c r="H12" s="10" t="s">
        <v>65</v>
      </c>
      <c r="I12" s="10">
        <v>1</v>
      </c>
    </row>
    <row r="13" spans="1:10" x14ac:dyDescent="0.25">
      <c r="A13" s="10" t="s">
        <v>80</v>
      </c>
      <c r="B13" s="10" t="s">
        <v>81</v>
      </c>
      <c r="C13" s="10" t="s">
        <v>73</v>
      </c>
      <c r="D13" s="35">
        <v>31539</v>
      </c>
      <c r="E13" s="35">
        <v>3153.9</v>
      </c>
      <c r="F13" s="35">
        <v>34692.9</v>
      </c>
      <c r="G13" s="10" t="s">
        <v>53</v>
      </c>
      <c r="H13" s="10" t="s">
        <v>65</v>
      </c>
      <c r="I13" s="10">
        <v>6</v>
      </c>
    </row>
    <row r="14" spans="1:10" x14ac:dyDescent="0.25">
      <c r="A14" s="10" t="s">
        <v>83</v>
      </c>
      <c r="B14" s="10" t="s">
        <v>84</v>
      </c>
      <c r="C14" s="10" t="s">
        <v>55</v>
      </c>
      <c r="D14" s="35">
        <v>56177</v>
      </c>
      <c r="E14" s="35">
        <v>5617.7</v>
      </c>
      <c r="F14" s="35">
        <v>61794.7</v>
      </c>
      <c r="G14" s="10" t="s">
        <v>45</v>
      </c>
      <c r="H14" s="10" t="s">
        <v>65</v>
      </c>
      <c r="I14" s="10">
        <v>1</v>
      </c>
    </row>
    <row r="15" spans="1:10" x14ac:dyDescent="0.25">
      <c r="A15" s="10" t="s">
        <v>87</v>
      </c>
      <c r="B15" s="10" t="s">
        <v>88</v>
      </c>
      <c r="C15" s="10" t="s">
        <v>49</v>
      </c>
      <c r="D15" s="35">
        <v>27081</v>
      </c>
      <c r="E15" s="35">
        <v>2708.1</v>
      </c>
      <c r="F15" s="35">
        <v>29789.1</v>
      </c>
      <c r="G15" s="10" t="s">
        <v>89</v>
      </c>
      <c r="H15" s="10" t="s">
        <v>46</v>
      </c>
      <c r="I15" s="10">
        <v>1</v>
      </c>
    </row>
    <row r="16" spans="1:10" x14ac:dyDescent="0.25">
      <c r="A16" s="10" t="s">
        <v>90</v>
      </c>
      <c r="B16" s="10" t="s">
        <v>91</v>
      </c>
      <c r="C16" s="10" t="s">
        <v>55</v>
      </c>
      <c r="D16" s="35">
        <v>28405</v>
      </c>
      <c r="E16" s="35">
        <v>2840.5</v>
      </c>
      <c r="F16" s="35">
        <v>31245.5</v>
      </c>
      <c r="G16" s="10" t="s">
        <v>53</v>
      </c>
      <c r="H16" s="10" t="s">
        <v>65</v>
      </c>
      <c r="I16" s="10">
        <v>1</v>
      </c>
    </row>
    <row r="17" spans="1:9" x14ac:dyDescent="0.25">
      <c r="A17" s="10" t="s">
        <v>94</v>
      </c>
      <c r="B17" s="10" t="s">
        <v>95</v>
      </c>
      <c r="C17" s="10" t="s">
        <v>61</v>
      </c>
      <c r="D17" s="35">
        <v>59455</v>
      </c>
      <c r="E17" s="35">
        <v>5945.5</v>
      </c>
      <c r="F17" s="35">
        <v>65400.5</v>
      </c>
      <c r="G17" s="10" t="s">
        <v>53</v>
      </c>
      <c r="H17" s="10" t="s">
        <v>46</v>
      </c>
      <c r="I17" s="10">
        <v>1</v>
      </c>
    </row>
    <row r="18" spans="1:9" x14ac:dyDescent="0.25">
      <c r="A18" s="10" t="s">
        <v>98</v>
      </c>
      <c r="B18" s="10" t="s">
        <v>99</v>
      </c>
      <c r="C18" s="10" t="s">
        <v>73</v>
      </c>
      <c r="D18" s="35">
        <v>35889</v>
      </c>
      <c r="E18" s="35">
        <v>3588.9</v>
      </c>
      <c r="F18" s="35">
        <v>39477.9</v>
      </c>
      <c r="G18" s="10" t="s">
        <v>45</v>
      </c>
      <c r="H18" s="10" t="s">
        <v>46</v>
      </c>
      <c r="I18" s="10">
        <v>3</v>
      </c>
    </row>
    <row r="19" spans="1:9" x14ac:dyDescent="0.25">
      <c r="A19" s="10" t="s">
        <v>100</v>
      </c>
      <c r="B19" s="10" t="s">
        <v>101</v>
      </c>
      <c r="C19" s="10" t="s">
        <v>55</v>
      </c>
      <c r="D19" s="35">
        <v>79280</v>
      </c>
      <c r="E19" s="35">
        <v>7928</v>
      </c>
      <c r="F19" s="35">
        <v>87208</v>
      </c>
      <c r="G19" s="10" t="s">
        <v>89</v>
      </c>
      <c r="H19" s="10" t="s">
        <v>46</v>
      </c>
      <c r="I19" s="10">
        <v>0</v>
      </c>
    </row>
    <row r="20" spans="1:9" x14ac:dyDescent="0.25">
      <c r="A20" s="10" t="s">
        <v>103</v>
      </c>
      <c r="B20" s="10" t="s">
        <v>104</v>
      </c>
      <c r="C20" s="10" t="s">
        <v>55</v>
      </c>
      <c r="D20" s="35">
        <v>105753</v>
      </c>
      <c r="E20" s="35">
        <v>10575.3</v>
      </c>
      <c r="F20" s="35">
        <v>116328.3</v>
      </c>
      <c r="G20" s="10" t="s">
        <v>64</v>
      </c>
      <c r="H20" s="10" t="s">
        <v>46</v>
      </c>
      <c r="I20" s="10">
        <v>0</v>
      </c>
    </row>
    <row r="21" spans="1:9" x14ac:dyDescent="0.25">
      <c r="A21" s="10" t="s">
        <v>106</v>
      </c>
      <c r="B21" s="10" t="s">
        <v>107</v>
      </c>
      <c r="C21" s="10" t="s">
        <v>55</v>
      </c>
      <c r="D21" s="35">
        <v>40897</v>
      </c>
      <c r="E21" s="35">
        <v>4089.7</v>
      </c>
      <c r="F21" s="35">
        <v>44986.7</v>
      </c>
      <c r="G21" s="10" t="s">
        <v>45</v>
      </c>
      <c r="H21" s="10" t="s">
        <v>46</v>
      </c>
      <c r="I21" s="10">
        <v>2</v>
      </c>
    </row>
    <row r="22" spans="1:9" x14ac:dyDescent="0.25">
      <c r="A22" s="10" t="s">
        <v>109</v>
      </c>
      <c r="B22" s="10" t="s">
        <v>110</v>
      </c>
      <c r="C22" s="10" t="s">
        <v>41</v>
      </c>
      <c r="D22" s="35">
        <v>35786</v>
      </c>
      <c r="E22" s="35">
        <v>3578.6</v>
      </c>
      <c r="F22" s="35">
        <v>39364.6</v>
      </c>
      <c r="G22" s="10" t="s">
        <v>45</v>
      </c>
      <c r="H22" s="10" t="s">
        <v>46</v>
      </c>
      <c r="I22" s="10">
        <v>2</v>
      </c>
    </row>
    <row r="23" spans="1:9" x14ac:dyDescent="0.25">
      <c r="A23" s="10" t="s">
        <v>112</v>
      </c>
      <c r="B23" s="10" t="s">
        <v>113</v>
      </c>
      <c r="C23" s="10" t="s">
        <v>49</v>
      </c>
      <c r="D23" s="35">
        <v>62981</v>
      </c>
      <c r="E23" s="35">
        <v>6298.1</v>
      </c>
      <c r="F23" s="35">
        <v>69279.100000000006</v>
      </c>
      <c r="G23" s="10" t="s">
        <v>64</v>
      </c>
      <c r="H23" s="10" t="s">
        <v>65</v>
      </c>
      <c r="I23" s="10">
        <v>5</v>
      </c>
    </row>
    <row r="24" spans="1:9" x14ac:dyDescent="0.25">
      <c r="A24" s="10" t="s">
        <v>117</v>
      </c>
      <c r="B24" s="10" t="s">
        <v>118</v>
      </c>
      <c r="C24" s="10" t="s">
        <v>55</v>
      </c>
      <c r="D24" s="35">
        <v>70935</v>
      </c>
      <c r="E24" s="35">
        <v>7093.5</v>
      </c>
      <c r="F24" s="35">
        <v>78028.5</v>
      </c>
      <c r="G24" s="10" t="s">
        <v>53</v>
      </c>
      <c r="H24" s="10" t="s">
        <v>65</v>
      </c>
      <c r="I24" s="10">
        <v>1</v>
      </c>
    </row>
    <row r="25" spans="1:9" x14ac:dyDescent="0.25">
      <c r="A25" s="10" t="s">
        <v>120</v>
      </c>
      <c r="B25" s="10" t="s">
        <v>121</v>
      </c>
      <c r="C25" s="10" t="s">
        <v>41</v>
      </c>
      <c r="D25" s="35">
        <v>23212</v>
      </c>
      <c r="E25" s="35">
        <v>2321.1999999999998</v>
      </c>
      <c r="F25" s="35">
        <v>25533.200000000001</v>
      </c>
      <c r="G25" s="10" t="s">
        <v>89</v>
      </c>
      <c r="H25" s="10" t="s">
        <v>65</v>
      </c>
      <c r="I25" s="10">
        <v>2</v>
      </c>
    </row>
    <row r="26" spans="1:9" x14ac:dyDescent="0.25">
      <c r="A26" s="10" t="s">
        <v>124</v>
      </c>
      <c r="B26" s="10" t="s">
        <v>125</v>
      </c>
      <c r="C26" s="10" t="s">
        <v>55</v>
      </c>
      <c r="D26" s="35">
        <v>79307</v>
      </c>
      <c r="E26" s="35">
        <v>7930.7</v>
      </c>
      <c r="F26" s="35">
        <v>87237.7</v>
      </c>
      <c r="G26" s="10" t="s">
        <v>53</v>
      </c>
      <c r="H26" s="10" t="s">
        <v>65</v>
      </c>
      <c r="I26" s="10">
        <v>1</v>
      </c>
    </row>
    <row r="27" spans="1:9" x14ac:dyDescent="0.25">
      <c r="A27" s="10" t="s">
        <v>127</v>
      </c>
      <c r="B27" s="10" t="s">
        <v>128</v>
      </c>
      <c r="C27" s="10" t="s">
        <v>49</v>
      </c>
      <c r="D27" s="35">
        <v>58278</v>
      </c>
      <c r="E27" s="35">
        <v>5827.8</v>
      </c>
      <c r="F27" s="35">
        <v>64105.8</v>
      </c>
      <c r="G27" s="10" t="s">
        <v>45</v>
      </c>
      <c r="H27" s="10" t="s">
        <v>46</v>
      </c>
      <c r="I27" s="10">
        <v>3</v>
      </c>
    </row>
    <row r="28" spans="1:9" x14ac:dyDescent="0.25">
      <c r="A28" s="10" t="s">
        <v>132</v>
      </c>
      <c r="B28" s="10" t="s">
        <v>133</v>
      </c>
      <c r="C28" s="10" t="s">
        <v>61</v>
      </c>
      <c r="D28" s="35">
        <v>34605</v>
      </c>
      <c r="E28" s="35">
        <v>3460.5</v>
      </c>
      <c r="F28" s="35">
        <v>38065.5</v>
      </c>
      <c r="G28" s="10" t="s">
        <v>89</v>
      </c>
      <c r="H28" s="10" t="s">
        <v>65</v>
      </c>
      <c r="I28" s="10">
        <v>1</v>
      </c>
    </row>
    <row r="29" spans="1:9" x14ac:dyDescent="0.25">
      <c r="A29" s="10" t="s">
        <v>134</v>
      </c>
      <c r="B29" s="10" t="s">
        <v>135</v>
      </c>
      <c r="C29" s="10" t="s">
        <v>55</v>
      </c>
      <c r="D29" s="35">
        <v>21304</v>
      </c>
      <c r="E29" s="35">
        <v>2130.4</v>
      </c>
      <c r="F29" s="35">
        <v>23434.400000000001</v>
      </c>
      <c r="G29" s="10" t="s">
        <v>64</v>
      </c>
      <c r="H29" s="10" t="s">
        <v>46</v>
      </c>
      <c r="I29" s="10">
        <v>5</v>
      </c>
    </row>
    <row r="30" spans="1:9" x14ac:dyDescent="0.25">
      <c r="A30" s="10" t="s">
        <v>136</v>
      </c>
      <c r="B30" s="10" t="s">
        <v>137</v>
      </c>
      <c r="C30" s="10" t="s">
        <v>61</v>
      </c>
      <c r="D30" s="35">
        <v>31048</v>
      </c>
      <c r="E30" s="35">
        <v>3104.8</v>
      </c>
      <c r="F30" s="35">
        <v>34152.800000000003</v>
      </c>
      <c r="G30" s="10" t="s">
        <v>89</v>
      </c>
      <c r="H30" s="10" t="s">
        <v>46</v>
      </c>
      <c r="I30" s="10">
        <v>0</v>
      </c>
    </row>
    <row r="31" spans="1:9" x14ac:dyDescent="0.25">
      <c r="A31" s="10" t="s">
        <v>138</v>
      </c>
      <c r="B31" s="10" t="s">
        <v>139</v>
      </c>
      <c r="C31" s="10" t="s">
        <v>61</v>
      </c>
      <c r="D31" s="35">
        <v>59455</v>
      </c>
      <c r="E31" s="35">
        <v>5945.5</v>
      </c>
      <c r="F31" s="35">
        <v>65400.5</v>
      </c>
      <c r="G31" s="10" t="s">
        <v>89</v>
      </c>
      <c r="H31" s="10" t="s">
        <v>46</v>
      </c>
      <c r="I31" s="10">
        <v>1</v>
      </c>
    </row>
    <row r="32" spans="1:9" x14ac:dyDescent="0.25">
      <c r="A32" s="10" t="s">
        <v>141</v>
      </c>
      <c r="B32" s="10" t="s">
        <v>142</v>
      </c>
      <c r="C32" s="10" t="s">
        <v>55</v>
      </c>
      <c r="D32" s="35">
        <v>44351</v>
      </c>
      <c r="E32" s="35">
        <v>4435.1000000000004</v>
      </c>
      <c r="F32" s="35">
        <v>48786.1</v>
      </c>
      <c r="G32" s="10" t="s">
        <v>53</v>
      </c>
      <c r="H32" s="10" t="s">
        <v>46</v>
      </c>
      <c r="I32" s="10">
        <v>3</v>
      </c>
    </row>
    <row r="33" spans="1:9" x14ac:dyDescent="0.25">
      <c r="A33" s="10" t="s">
        <v>144</v>
      </c>
      <c r="B33" s="10" t="s">
        <v>145</v>
      </c>
      <c r="C33" s="10" t="s">
        <v>55</v>
      </c>
      <c r="D33" s="35">
        <v>56177</v>
      </c>
      <c r="E33" s="35">
        <v>5617.7</v>
      </c>
      <c r="F33" s="35">
        <v>61794.7</v>
      </c>
      <c r="G33" s="10" t="s">
        <v>53</v>
      </c>
      <c r="H33" s="10" t="s">
        <v>46</v>
      </c>
      <c r="I33" s="10">
        <v>6</v>
      </c>
    </row>
    <row r="34" spans="1:9" x14ac:dyDescent="0.25">
      <c r="A34" s="10" t="s">
        <v>147</v>
      </c>
      <c r="B34" s="10" t="s">
        <v>148</v>
      </c>
      <c r="C34" s="10" t="s">
        <v>149</v>
      </c>
      <c r="D34" s="35">
        <v>38094</v>
      </c>
      <c r="E34" s="35">
        <v>3809.4</v>
      </c>
      <c r="F34" s="35">
        <v>41903.4</v>
      </c>
      <c r="G34" s="10" t="s">
        <v>89</v>
      </c>
      <c r="H34" s="10" t="s">
        <v>46</v>
      </c>
      <c r="I34" s="10">
        <v>4</v>
      </c>
    </row>
    <row r="35" spans="1:9" x14ac:dyDescent="0.25">
      <c r="A35" s="10" t="s">
        <v>151</v>
      </c>
      <c r="B35" s="10" t="s">
        <v>152</v>
      </c>
      <c r="C35" s="10" t="s">
        <v>149</v>
      </c>
      <c r="D35" s="35">
        <v>28859</v>
      </c>
      <c r="E35" s="35">
        <v>2885.9</v>
      </c>
      <c r="F35" s="35">
        <v>31744.9</v>
      </c>
      <c r="G35" s="10" t="s">
        <v>53</v>
      </c>
      <c r="H35" s="10" t="s">
        <v>65</v>
      </c>
      <c r="I35" s="10">
        <v>3</v>
      </c>
    </row>
    <row r="36" spans="1:9" x14ac:dyDescent="0.25">
      <c r="A36" s="10" t="s">
        <v>153</v>
      </c>
      <c r="B36" s="10" t="s">
        <v>154</v>
      </c>
      <c r="C36" s="10" t="s">
        <v>73</v>
      </c>
      <c r="D36" s="35">
        <v>47853</v>
      </c>
      <c r="E36" s="35">
        <v>4785.3</v>
      </c>
      <c r="F36" s="35">
        <v>52638.3</v>
      </c>
      <c r="G36" s="10" t="s">
        <v>64</v>
      </c>
      <c r="H36" s="10" t="s">
        <v>65</v>
      </c>
      <c r="I36" s="10">
        <v>0</v>
      </c>
    </row>
    <row r="37" spans="1:9" x14ac:dyDescent="0.25">
      <c r="A37" s="10" t="s">
        <v>153</v>
      </c>
      <c r="B37" s="10" t="s">
        <v>91</v>
      </c>
      <c r="C37" s="10" t="s">
        <v>55</v>
      </c>
      <c r="D37" s="35">
        <v>30411</v>
      </c>
      <c r="E37" s="35">
        <v>3041.1</v>
      </c>
      <c r="F37" s="35">
        <v>33452.1</v>
      </c>
      <c r="G37" s="10" t="s">
        <v>89</v>
      </c>
      <c r="H37" s="10" t="s">
        <v>65</v>
      </c>
      <c r="I37" s="10">
        <v>0</v>
      </c>
    </row>
    <row r="38" spans="1:9" x14ac:dyDescent="0.25">
      <c r="A38" s="10" t="s">
        <v>153</v>
      </c>
      <c r="B38" s="10" t="s">
        <v>139</v>
      </c>
      <c r="C38" s="10" t="s">
        <v>41</v>
      </c>
      <c r="D38" s="35">
        <v>29983</v>
      </c>
      <c r="E38" s="35">
        <v>2998.3</v>
      </c>
      <c r="F38" s="35">
        <v>32981.300000000003</v>
      </c>
      <c r="G38" s="10" t="s">
        <v>45</v>
      </c>
      <c r="H38" s="10" t="s">
        <v>65</v>
      </c>
      <c r="I38" s="10">
        <v>0</v>
      </c>
    </row>
    <row r="39" spans="1:9" x14ac:dyDescent="0.25">
      <c r="A39" s="10" t="s">
        <v>156</v>
      </c>
      <c r="B39" s="10" t="s">
        <v>157</v>
      </c>
      <c r="C39" s="10" t="s">
        <v>61</v>
      </c>
      <c r="D39" s="35">
        <v>37896</v>
      </c>
      <c r="E39" s="35">
        <v>3789.6</v>
      </c>
      <c r="F39" s="35">
        <v>41685.599999999999</v>
      </c>
      <c r="G39" s="10" t="s">
        <v>89</v>
      </c>
      <c r="H39" s="10" t="s">
        <v>46</v>
      </c>
      <c r="I39" s="10">
        <v>5</v>
      </c>
    </row>
    <row r="40" spans="1:9" x14ac:dyDescent="0.25">
      <c r="A40" s="10" t="s">
        <v>158</v>
      </c>
      <c r="B40" s="10" t="s">
        <v>159</v>
      </c>
      <c r="C40" s="10" t="s">
        <v>49</v>
      </c>
      <c r="D40" s="35">
        <v>41987</v>
      </c>
      <c r="E40" s="35">
        <v>4198.7</v>
      </c>
      <c r="F40" s="35">
        <v>46185.7</v>
      </c>
      <c r="G40" s="10" t="s">
        <v>64</v>
      </c>
      <c r="H40" s="10" t="s">
        <v>65</v>
      </c>
      <c r="I40" s="10">
        <v>3</v>
      </c>
    </row>
    <row r="41" spans="1:9" x14ac:dyDescent="0.25">
      <c r="A41" s="10" t="s">
        <v>160</v>
      </c>
      <c r="B41" s="10" t="s">
        <v>161</v>
      </c>
      <c r="C41" s="10" t="s">
        <v>61</v>
      </c>
      <c r="D41" s="35">
        <v>53685</v>
      </c>
      <c r="E41" s="35">
        <v>5368.5</v>
      </c>
      <c r="F41" s="35">
        <v>59053.5</v>
      </c>
      <c r="G41" s="10" t="s">
        <v>45</v>
      </c>
      <c r="H41" s="10" t="s">
        <v>46</v>
      </c>
      <c r="I41" s="10">
        <v>0</v>
      </c>
    </row>
    <row r="42" spans="1:9" x14ac:dyDescent="0.25">
      <c r="A42" s="10" t="s">
        <v>162</v>
      </c>
      <c r="B42" s="10" t="s">
        <v>121</v>
      </c>
      <c r="C42" s="10" t="s">
        <v>49</v>
      </c>
      <c r="D42" s="35">
        <v>58278</v>
      </c>
      <c r="E42" s="35">
        <v>5827.8</v>
      </c>
      <c r="F42" s="35">
        <v>64105.8</v>
      </c>
      <c r="G42" s="10" t="s">
        <v>64</v>
      </c>
      <c r="H42" s="10" t="s">
        <v>65</v>
      </c>
      <c r="I42" s="10">
        <v>0</v>
      </c>
    </row>
    <row r="43" spans="1:9" x14ac:dyDescent="0.25">
      <c r="A43" s="10" t="s">
        <v>163</v>
      </c>
      <c r="B43" s="10" t="s">
        <v>164</v>
      </c>
      <c r="C43" s="10" t="s">
        <v>73</v>
      </c>
      <c r="D43" s="35">
        <v>29045</v>
      </c>
      <c r="E43" s="35">
        <v>2904.5</v>
      </c>
      <c r="F43" s="35">
        <v>31949.5</v>
      </c>
      <c r="G43" s="10" t="s">
        <v>45</v>
      </c>
      <c r="H43" s="10" t="s">
        <v>46</v>
      </c>
      <c r="I43" s="10">
        <v>0</v>
      </c>
    </row>
    <row r="44" spans="1:9" x14ac:dyDescent="0.25">
      <c r="A44" s="10" t="s">
        <v>165</v>
      </c>
      <c r="B44" s="10" t="s">
        <v>48</v>
      </c>
      <c r="C44" s="10" t="s">
        <v>41</v>
      </c>
      <c r="D44" s="35">
        <v>79061</v>
      </c>
      <c r="E44" s="35">
        <v>7906.1</v>
      </c>
      <c r="F44" s="35">
        <v>86967.1</v>
      </c>
      <c r="G44" s="10" t="s">
        <v>64</v>
      </c>
      <c r="H44" s="10" t="s">
        <v>46</v>
      </c>
      <c r="I44" s="10">
        <v>0</v>
      </c>
    </row>
    <row r="45" spans="1:9" x14ac:dyDescent="0.25">
      <c r="A45" s="10" t="s">
        <v>165</v>
      </c>
      <c r="B45" s="10" t="s">
        <v>166</v>
      </c>
      <c r="C45" s="10" t="s">
        <v>61</v>
      </c>
      <c r="D45" s="35">
        <v>64738</v>
      </c>
      <c r="E45" s="35">
        <v>6473.8</v>
      </c>
      <c r="F45" s="35">
        <v>71211.8</v>
      </c>
      <c r="G45" s="10" t="s">
        <v>64</v>
      </c>
      <c r="H45" s="10" t="s">
        <v>46</v>
      </c>
      <c r="I45" s="10">
        <v>0</v>
      </c>
    </row>
    <row r="46" spans="1:9" x14ac:dyDescent="0.25">
      <c r="A46" s="10" t="s">
        <v>168</v>
      </c>
      <c r="B46" s="10" t="s">
        <v>169</v>
      </c>
      <c r="C46" s="10" t="s">
        <v>49</v>
      </c>
      <c r="D46" s="35">
        <v>46486</v>
      </c>
      <c r="E46" s="35">
        <v>4648.6000000000004</v>
      </c>
      <c r="F46" s="35">
        <v>51134.6</v>
      </c>
      <c r="G46" s="10" t="s">
        <v>53</v>
      </c>
      <c r="H46" s="10" t="s">
        <v>46</v>
      </c>
      <c r="I46" s="10">
        <v>1</v>
      </c>
    </row>
    <row r="47" spans="1:9" x14ac:dyDescent="0.25">
      <c r="A47" s="10" t="s">
        <v>168</v>
      </c>
      <c r="B47" s="10" t="s">
        <v>170</v>
      </c>
      <c r="C47" s="10" t="s">
        <v>73</v>
      </c>
      <c r="D47" s="35">
        <v>27598</v>
      </c>
      <c r="E47" s="35">
        <v>2759.8</v>
      </c>
      <c r="F47" s="35">
        <v>30357.8</v>
      </c>
      <c r="G47" s="10" t="s">
        <v>53</v>
      </c>
      <c r="H47" s="10" t="s">
        <v>46</v>
      </c>
      <c r="I47" s="10">
        <v>2</v>
      </c>
    </row>
    <row r="48" spans="1:9" x14ac:dyDescent="0.25">
      <c r="A48" s="10" t="s">
        <v>172</v>
      </c>
      <c r="B48" s="10" t="s">
        <v>173</v>
      </c>
      <c r="C48" s="10" t="s">
        <v>149</v>
      </c>
      <c r="D48" s="35">
        <v>36940</v>
      </c>
      <c r="E48" s="35">
        <v>3694</v>
      </c>
      <c r="F48" s="35">
        <v>40634</v>
      </c>
      <c r="G48" s="10" t="s">
        <v>89</v>
      </c>
      <c r="H48" s="10" t="s">
        <v>46</v>
      </c>
      <c r="I48" s="10">
        <v>1</v>
      </c>
    </row>
    <row r="49" spans="1:9" x14ac:dyDescent="0.25">
      <c r="A49" s="10" t="s">
        <v>174</v>
      </c>
      <c r="B49" s="10" t="s">
        <v>175</v>
      </c>
      <c r="C49" s="10" t="s">
        <v>49</v>
      </c>
      <c r="D49" s="35">
        <v>28044</v>
      </c>
      <c r="E49" s="35">
        <v>2804.4</v>
      </c>
      <c r="F49" s="35">
        <v>30848.400000000001</v>
      </c>
      <c r="G49" s="10" t="s">
        <v>45</v>
      </c>
      <c r="H49" s="10" t="s">
        <v>46</v>
      </c>
      <c r="I49" s="10">
        <v>4</v>
      </c>
    </row>
    <row r="50" spans="1:9" x14ac:dyDescent="0.25">
      <c r="A50" s="10" t="s">
        <v>176</v>
      </c>
      <c r="B50" s="10" t="s">
        <v>177</v>
      </c>
      <c r="C50" s="10" t="s">
        <v>73</v>
      </c>
      <c r="D50" s="35">
        <v>27598</v>
      </c>
      <c r="E50" s="35">
        <v>2759.8</v>
      </c>
      <c r="F50" s="35">
        <v>30357.8</v>
      </c>
      <c r="G50" s="10" t="s">
        <v>64</v>
      </c>
      <c r="H50" s="10" t="s">
        <v>46</v>
      </c>
      <c r="I50" s="10">
        <v>3</v>
      </c>
    </row>
    <row r="51" spans="1:9" x14ac:dyDescent="0.25">
      <c r="A51" s="10" t="s">
        <v>178</v>
      </c>
      <c r="B51" s="10" t="s">
        <v>179</v>
      </c>
      <c r="C51" s="10" t="s">
        <v>49</v>
      </c>
      <c r="D51" s="35">
        <v>66603</v>
      </c>
      <c r="E51" s="35">
        <v>6660.3</v>
      </c>
      <c r="F51" s="35">
        <v>73263.3</v>
      </c>
      <c r="G51" s="10" t="s">
        <v>53</v>
      </c>
      <c r="H51" s="10" t="s">
        <v>65</v>
      </c>
      <c r="I51" s="10">
        <v>2</v>
      </c>
    </row>
    <row r="52" spans="1:9" x14ac:dyDescent="0.25">
      <c r="A52" s="10" t="s">
        <v>180</v>
      </c>
      <c r="B52" s="10" t="s">
        <v>91</v>
      </c>
      <c r="C52" s="10" t="s">
        <v>149</v>
      </c>
      <c r="D52" s="35">
        <v>25176</v>
      </c>
      <c r="E52" s="35">
        <v>2517.6</v>
      </c>
      <c r="F52" s="35">
        <v>27693.599999999999</v>
      </c>
      <c r="G52" s="10" t="s">
        <v>89</v>
      </c>
      <c r="H52" s="10" t="s">
        <v>46</v>
      </c>
      <c r="I52" s="10">
        <v>0</v>
      </c>
    </row>
    <row r="53" spans="1:9" x14ac:dyDescent="0.25">
      <c r="A53" s="10" t="s">
        <v>182</v>
      </c>
      <c r="B53" s="10" t="s">
        <v>183</v>
      </c>
      <c r="C53" s="10" t="s">
        <v>41</v>
      </c>
      <c r="D53" s="35">
        <v>25147</v>
      </c>
      <c r="E53" s="35">
        <v>2514.6999999999998</v>
      </c>
      <c r="F53" s="35">
        <v>27661.7</v>
      </c>
      <c r="G53" s="10" t="s">
        <v>45</v>
      </c>
      <c r="H53" s="10" t="s">
        <v>65</v>
      </c>
      <c r="I53" s="10">
        <v>4</v>
      </c>
    </row>
    <row r="54" spans="1:9" x14ac:dyDescent="0.25">
      <c r="A54" s="10" t="s">
        <v>184</v>
      </c>
      <c r="B54" s="10" t="s">
        <v>185</v>
      </c>
      <c r="C54" s="10" t="s">
        <v>55</v>
      </c>
      <c r="D54" s="35">
        <v>29362</v>
      </c>
      <c r="E54" s="35">
        <v>2936.2</v>
      </c>
      <c r="F54" s="35">
        <v>32298.2</v>
      </c>
      <c r="G54" s="10" t="s">
        <v>45</v>
      </c>
      <c r="H54" s="10" t="s">
        <v>46</v>
      </c>
      <c r="I54" s="10">
        <v>0</v>
      </c>
    </row>
    <row r="55" spans="1:9" x14ac:dyDescent="0.25">
      <c r="A55" s="10" t="s">
        <v>186</v>
      </c>
      <c r="B55" s="10" t="s">
        <v>164</v>
      </c>
      <c r="C55" s="10" t="s">
        <v>49</v>
      </c>
      <c r="D55" s="35">
        <v>33301</v>
      </c>
      <c r="E55" s="35">
        <v>3330.1</v>
      </c>
      <c r="F55" s="35">
        <v>36631.1</v>
      </c>
      <c r="G55" s="10" t="s">
        <v>89</v>
      </c>
      <c r="H55" s="10" t="s">
        <v>46</v>
      </c>
      <c r="I55" s="10">
        <v>1</v>
      </c>
    </row>
    <row r="56" spans="1:9" x14ac:dyDescent="0.25">
      <c r="A56" s="10" t="s">
        <v>187</v>
      </c>
      <c r="B56" s="10" t="s">
        <v>188</v>
      </c>
      <c r="C56" s="10" t="s">
        <v>49</v>
      </c>
      <c r="D56" s="35">
        <v>33301</v>
      </c>
      <c r="E56" s="35">
        <v>3330.1</v>
      </c>
      <c r="F56" s="35">
        <v>36631.1</v>
      </c>
      <c r="G56" s="10" t="s">
        <v>53</v>
      </c>
      <c r="H56" s="10" t="s">
        <v>65</v>
      </c>
      <c r="I56" s="10">
        <v>3</v>
      </c>
    </row>
    <row r="57" spans="1:9" x14ac:dyDescent="0.25">
      <c r="A57" s="10" t="s">
        <v>189</v>
      </c>
      <c r="B57" s="10" t="s">
        <v>190</v>
      </c>
      <c r="C57" s="10" t="s">
        <v>41</v>
      </c>
      <c r="D57" s="35">
        <v>23212</v>
      </c>
      <c r="E57" s="35">
        <v>2321.1999999999998</v>
      </c>
      <c r="F57" s="35">
        <v>25533.200000000001</v>
      </c>
      <c r="G57" s="10" t="s">
        <v>89</v>
      </c>
      <c r="H57" s="10" t="s">
        <v>46</v>
      </c>
      <c r="I57" s="10">
        <v>3</v>
      </c>
    </row>
    <row r="58" spans="1:9" x14ac:dyDescent="0.25">
      <c r="A58" s="10" t="s">
        <v>192</v>
      </c>
      <c r="B58" s="10" t="s">
        <v>193</v>
      </c>
      <c r="C58" s="10" t="s">
        <v>73</v>
      </c>
      <c r="D58" s="35">
        <v>28044</v>
      </c>
      <c r="E58" s="35">
        <v>2804.4</v>
      </c>
      <c r="F58" s="35">
        <v>30848.400000000001</v>
      </c>
      <c r="G58" s="10" t="s">
        <v>53</v>
      </c>
      <c r="H58" s="10" t="s">
        <v>46</v>
      </c>
      <c r="I58" s="10">
        <v>8</v>
      </c>
    </row>
    <row r="59" spans="1:9" x14ac:dyDescent="0.25">
      <c r="A59" s="10" t="s">
        <v>194</v>
      </c>
      <c r="B59" s="10" t="s">
        <v>195</v>
      </c>
      <c r="C59" s="10" t="s">
        <v>55</v>
      </c>
      <c r="D59" s="35">
        <v>34002</v>
      </c>
      <c r="E59" s="35">
        <v>3400.2</v>
      </c>
      <c r="F59" s="35">
        <v>37402.199999999997</v>
      </c>
      <c r="G59" s="10" t="s">
        <v>45</v>
      </c>
      <c r="H59" s="10" t="s">
        <v>46</v>
      </c>
      <c r="I59" s="10">
        <v>1</v>
      </c>
    </row>
    <row r="60" spans="1:9" x14ac:dyDescent="0.25">
      <c r="A60" s="10" t="s">
        <v>196</v>
      </c>
      <c r="B60" s="10" t="s">
        <v>197</v>
      </c>
      <c r="C60" s="10" t="s">
        <v>55</v>
      </c>
      <c r="D60" s="35">
        <v>46387</v>
      </c>
      <c r="E60" s="35">
        <v>4638.7</v>
      </c>
      <c r="F60" s="35">
        <v>51025.7</v>
      </c>
      <c r="G60" s="10" t="s">
        <v>45</v>
      </c>
      <c r="H60" s="10" t="s">
        <v>65</v>
      </c>
      <c r="I60" s="10">
        <v>0</v>
      </c>
    </row>
    <row r="61" spans="1:9" x14ac:dyDescent="0.25">
      <c r="A61" s="10" t="s">
        <v>198</v>
      </c>
      <c r="B61" s="10" t="s">
        <v>170</v>
      </c>
      <c r="C61" s="10" t="s">
        <v>61</v>
      </c>
      <c r="D61" s="35">
        <v>31048</v>
      </c>
      <c r="E61" s="35">
        <v>3104.8</v>
      </c>
      <c r="F61" s="35">
        <v>34152.800000000003</v>
      </c>
      <c r="G61" s="10" t="s">
        <v>89</v>
      </c>
      <c r="H61" s="10" t="s">
        <v>46</v>
      </c>
      <c r="I61" s="10">
        <v>1</v>
      </c>
    </row>
    <row r="62" spans="1:9" x14ac:dyDescent="0.25">
      <c r="A62" s="10" t="s">
        <v>199</v>
      </c>
      <c r="B62" s="10" t="s">
        <v>200</v>
      </c>
      <c r="C62" s="10" t="s">
        <v>41</v>
      </c>
      <c r="D62" s="35">
        <v>116511</v>
      </c>
      <c r="E62" s="35">
        <v>11651.1</v>
      </c>
      <c r="F62" s="35">
        <v>128162.1</v>
      </c>
      <c r="G62" s="10" t="s">
        <v>89</v>
      </c>
      <c r="H62" s="10" t="s">
        <v>46</v>
      </c>
      <c r="I62" s="10">
        <v>1</v>
      </c>
    </row>
    <row r="63" spans="1:9" x14ac:dyDescent="0.25">
      <c r="A63" s="10" t="s">
        <v>201</v>
      </c>
      <c r="B63" s="10" t="s">
        <v>202</v>
      </c>
      <c r="C63" s="10" t="s">
        <v>49</v>
      </c>
      <c r="D63" s="35">
        <v>28044</v>
      </c>
      <c r="E63" s="35">
        <v>2804.4</v>
      </c>
      <c r="F63" s="35">
        <v>30848.400000000001</v>
      </c>
      <c r="G63" s="10" t="s">
        <v>89</v>
      </c>
      <c r="H63" s="10" t="s">
        <v>46</v>
      </c>
      <c r="I63" s="10">
        <v>1</v>
      </c>
    </row>
    <row r="64" spans="1:9" x14ac:dyDescent="0.25">
      <c r="A64" s="10" t="s">
        <v>203</v>
      </c>
      <c r="B64" s="10" t="s">
        <v>204</v>
      </c>
      <c r="C64" s="10" t="s">
        <v>55</v>
      </c>
      <c r="D64" s="35">
        <v>53721</v>
      </c>
      <c r="E64" s="35">
        <v>5372.1</v>
      </c>
      <c r="F64" s="35">
        <v>59093.1</v>
      </c>
      <c r="G64" s="10" t="s">
        <v>45</v>
      </c>
      <c r="H64" s="10" t="s">
        <v>46</v>
      </c>
      <c r="I64" s="10">
        <v>0</v>
      </c>
    </row>
    <row r="65" spans="1:9" x14ac:dyDescent="0.25">
      <c r="A65" s="10" t="s">
        <v>205</v>
      </c>
      <c r="B65" s="10" t="s">
        <v>206</v>
      </c>
      <c r="C65" s="10" t="s">
        <v>55</v>
      </c>
      <c r="D65" s="35">
        <v>62590</v>
      </c>
      <c r="E65" s="35">
        <v>6259</v>
      </c>
      <c r="F65" s="35">
        <v>68849</v>
      </c>
      <c r="G65" s="10" t="s">
        <v>53</v>
      </c>
      <c r="H65" s="10" t="s">
        <v>65</v>
      </c>
      <c r="I65" s="10">
        <v>2</v>
      </c>
    </row>
    <row r="66" spans="1:9" x14ac:dyDescent="0.25">
      <c r="A66" s="10" t="s">
        <v>205</v>
      </c>
      <c r="B66" s="10" t="s">
        <v>207</v>
      </c>
      <c r="C66" s="10" t="s">
        <v>55</v>
      </c>
      <c r="D66" s="35">
        <v>29362</v>
      </c>
      <c r="E66" s="35">
        <v>2936.2</v>
      </c>
      <c r="F66" s="35">
        <v>32298.2</v>
      </c>
      <c r="G66" s="10" t="s">
        <v>53</v>
      </c>
      <c r="H66" s="10" t="s">
        <v>65</v>
      </c>
      <c r="I66" s="10">
        <v>0</v>
      </c>
    </row>
    <row r="67" spans="1:9" x14ac:dyDescent="0.25">
      <c r="A67" s="10" t="s">
        <v>208</v>
      </c>
      <c r="B67" s="10" t="s">
        <v>209</v>
      </c>
      <c r="C67" s="10" t="s">
        <v>49</v>
      </c>
      <c r="D67" s="35">
        <v>29983</v>
      </c>
      <c r="E67" s="35">
        <v>2998.3</v>
      </c>
      <c r="F67" s="35">
        <v>32981.300000000003</v>
      </c>
      <c r="G67" s="10" t="s">
        <v>64</v>
      </c>
      <c r="H67" s="10" t="s">
        <v>46</v>
      </c>
      <c r="I67" s="10">
        <v>2</v>
      </c>
    </row>
    <row r="68" spans="1:9" x14ac:dyDescent="0.25">
      <c r="A68" s="10" t="s">
        <v>210</v>
      </c>
      <c r="B68" s="10" t="s">
        <v>211</v>
      </c>
      <c r="C68" s="10" t="s">
        <v>41</v>
      </c>
      <c r="D68" s="35">
        <v>27081</v>
      </c>
      <c r="E68" s="35">
        <v>2708.1</v>
      </c>
      <c r="F68" s="35">
        <v>29789.1</v>
      </c>
      <c r="G68" s="10" t="s">
        <v>89</v>
      </c>
      <c r="H68" s="10" t="s">
        <v>65</v>
      </c>
      <c r="I68" s="10">
        <v>2</v>
      </c>
    </row>
    <row r="69" spans="1:9" x14ac:dyDescent="0.25">
      <c r="A69" s="10" t="s">
        <v>212</v>
      </c>
      <c r="B69" s="10" t="s">
        <v>213</v>
      </c>
      <c r="C69" s="10" t="s">
        <v>55</v>
      </c>
      <c r="D69" s="35">
        <v>44351</v>
      </c>
      <c r="E69" s="35">
        <v>4435.1000000000004</v>
      </c>
      <c r="F69" s="35">
        <v>48786.1</v>
      </c>
      <c r="G69" s="10" t="s">
        <v>45</v>
      </c>
      <c r="H69" s="10" t="s">
        <v>65</v>
      </c>
      <c r="I69" s="10">
        <v>0</v>
      </c>
    </row>
    <row r="70" spans="1:9" x14ac:dyDescent="0.25">
      <c r="A70" s="10" t="s">
        <v>214</v>
      </c>
      <c r="B70" s="10" t="s">
        <v>215</v>
      </c>
      <c r="C70" s="10" t="s">
        <v>41</v>
      </c>
      <c r="D70" s="35">
        <v>26114</v>
      </c>
      <c r="E70" s="35">
        <v>2611.4</v>
      </c>
      <c r="F70" s="35">
        <v>28725.4</v>
      </c>
      <c r="G70" s="10" t="s">
        <v>53</v>
      </c>
      <c r="H70" s="10" t="s">
        <v>65</v>
      </c>
      <c r="I70" s="10">
        <v>5</v>
      </c>
    </row>
    <row r="71" spans="1:9" x14ac:dyDescent="0.25">
      <c r="A71" s="10" t="s">
        <v>216</v>
      </c>
      <c r="B71" s="10" t="s">
        <v>217</v>
      </c>
      <c r="C71" s="10" t="s">
        <v>49</v>
      </c>
      <c r="D71" s="35">
        <v>47986</v>
      </c>
      <c r="E71" s="35">
        <v>4798.6000000000004</v>
      </c>
      <c r="F71" s="35">
        <v>52784.6</v>
      </c>
      <c r="G71" s="10" t="s">
        <v>45</v>
      </c>
      <c r="H71" s="10" t="s">
        <v>65</v>
      </c>
      <c r="I71" s="10">
        <v>4</v>
      </c>
    </row>
    <row r="72" spans="1:9" x14ac:dyDescent="0.25">
      <c r="A72" s="10" t="s">
        <v>216</v>
      </c>
      <c r="B72" s="10" t="s">
        <v>218</v>
      </c>
      <c r="C72" s="10" t="s">
        <v>55</v>
      </c>
      <c r="D72" s="35">
        <v>31068</v>
      </c>
      <c r="E72" s="35">
        <v>3106.8</v>
      </c>
      <c r="F72" s="35">
        <v>34174.800000000003</v>
      </c>
      <c r="G72" s="10" t="s">
        <v>89</v>
      </c>
      <c r="H72" s="10" t="s">
        <v>65</v>
      </c>
      <c r="I72" s="10">
        <v>0</v>
      </c>
    </row>
    <row r="73" spans="1:9" x14ac:dyDescent="0.25">
      <c r="A73" s="10" t="s">
        <v>216</v>
      </c>
      <c r="B73" s="10" t="s">
        <v>219</v>
      </c>
      <c r="C73" s="10" t="s">
        <v>41</v>
      </c>
      <c r="D73" s="35">
        <v>27081</v>
      </c>
      <c r="E73" s="35">
        <v>2708.1</v>
      </c>
      <c r="F73" s="35">
        <v>29789.1</v>
      </c>
      <c r="G73" s="10" t="s">
        <v>53</v>
      </c>
      <c r="H73" s="10" t="s">
        <v>65</v>
      </c>
      <c r="I73" s="10">
        <v>2</v>
      </c>
    </row>
    <row r="74" spans="1:9" x14ac:dyDescent="0.25">
      <c r="A74" s="10" t="s">
        <v>220</v>
      </c>
      <c r="B74" s="10" t="s">
        <v>221</v>
      </c>
      <c r="C74" s="10" t="s">
        <v>55</v>
      </c>
      <c r="D74" s="35">
        <v>34605</v>
      </c>
      <c r="E74" s="35">
        <v>3460.5</v>
      </c>
      <c r="F74" s="35">
        <v>38065.5</v>
      </c>
      <c r="G74" s="10" t="s">
        <v>64</v>
      </c>
      <c r="H74" s="10" t="s">
        <v>65</v>
      </c>
      <c r="I74" s="10">
        <v>8</v>
      </c>
    </row>
    <row r="75" spans="1:9" x14ac:dyDescent="0.25">
      <c r="A75" s="10" t="s">
        <v>222</v>
      </c>
      <c r="B75" s="10" t="s">
        <v>223</v>
      </c>
      <c r="C75" s="10" t="s">
        <v>55</v>
      </c>
      <c r="D75" s="35">
        <v>43394</v>
      </c>
      <c r="E75" s="35">
        <v>4339.3999999999996</v>
      </c>
      <c r="F75" s="35">
        <v>47733.4</v>
      </c>
      <c r="G75" s="10" t="s">
        <v>53</v>
      </c>
      <c r="H75" s="10" t="s">
        <v>65</v>
      </c>
      <c r="I75" s="10">
        <v>2</v>
      </c>
    </row>
    <row r="76" spans="1:9" x14ac:dyDescent="0.25">
      <c r="A76" s="10" t="s">
        <v>224</v>
      </c>
      <c r="B76" s="10" t="s">
        <v>225</v>
      </c>
      <c r="C76" s="10" t="s">
        <v>49</v>
      </c>
      <c r="D76" s="35">
        <v>37489</v>
      </c>
      <c r="E76" s="35">
        <v>3748.9</v>
      </c>
      <c r="F76" s="35">
        <v>41237.9</v>
      </c>
      <c r="G76" s="10" t="s">
        <v>53</v>
      </c>
      <c r="H76" s="10" t="s">
        <v>46</v>
      </c>
      <c r="I76" s="10">
        <v>6</v>
      </c>
    </row>
    <row r="77" spans="1:9" x14ac:dyDescent="0.25">
      <c r="A77" s="10" t="s">
        <v>226</v>
      </c>
      <c r="B77" s="10" t="s">
        <v>188</v>
      </c>
      <c r="C77" s="10" t="s">
        <v>73</v>
      </c>
      <c r="D77" s="35">
        <v>29045</v>
      </c>
      <c r="E77" s="35">
        <v>2904.5</v>
      </c>
      <c r="F77" s="35">
        <v>31949.5</v>
      </c>
      <c r="G77" s="10" t="s">
        <v>64</v>
      </c>
      <c r="H77" s="10" t="s">
        <v>65</v>
      </c>
      <c r="I77" s="10">
        <v>2</v>
      </c>
    </row>
    <row r="78" spans="1:9" x14ac:dyDescent="0.25">
      <c r="A78" s="10" t="s">
        <v>227</v>
      </c>
      <c r="B78" s="10" t="s">
        <v>202</v>
      </c>
      <c r="C78" s="10" t="s">
        <v>49</v>
      </c>
      <c r="D78" s="35">
        <v>58482</v>
      </c>
      <c r="E78" s="35">
        <v>5848.2</v>
      </c>
      <c r="F78" s="35">
        <v>64330.2</v>
      </c>
      <c r="G78" s="10" t="s">
        <v>53</v>
      </c>
      <c r="H78" s="10" t="s">
        <v>46</v>
      </c>
      <c r="I78" s="10">
        <v>1</v>
      </c>
    </row>
    <row r="79" spans="1:9" x14ac:dyDescent="0.25">
      <c r="A79" s="10" t="s">
        <v>227</v>
      </c>
      <c r="B79" s="10" t="s">
        <v>228</v>
      </c>
      <c r="C79" s="10" t="s">
        <v>73</v>
      </c>
      <c r="D79" s="35">
        <v>26646</v>
      </c>
      <c r="E79" s="35">
        <v>2664.6</v>
      </c>
      <c r="F79" s="35">
        <v>29310.6</v>
      </c>
      <c r="G79" s="10" t="s">
        <v>45</v>
      </c>
      <c r="H79" s="10" t="s">
        <v>46</v>
      </c>
      <c r="I79" s="10">
        <v>1</v>
      </c>
    </row>
    <row r="80" spans="1:9" x14ac:dyDescent="0.25">
      <c r="A80" s="10" t="s">
        <v>229</v>
      </c>
      <c r="B80" s="10" t="s">
        <v>230</v>
      </c>
      <c r="C80" s="10" t="s">
        <v>55</v>
      </c>
      <c r="D80" s="35">
        <v>42872</v>
      </c>
      <c r="E80" s="35">
        <v>4287.2</v>
      </c>
      <c r="F80" s="35">
        <v>47159.199999999997</v>
      </c>
      <c r="G80" s="10" t="s">
        <v>64</v>
      </c>
      <c r="H80" s="10" t="s">
        <v>65</v>
      </c>
      <c r="I80" s="10">
        <v>0</v>
      </c>
    </row>
    <row r="81" spans="1:9" x14ac:dyDescent="0.25">
      <c r="A81" s="10" t="s">
        <v>231</v>
      </c>
      <c r="B81" s="10" t="s">
        <v>88</v>
      </c>
      <c r="C81" s="10" t="s">
        <v>55</v>
      </c>
      <c r="D81" s="35">
        <v>58326</v>
      </c>
      <c r="E81" s="35">
        <v>5832.6</v>
      </c>
      <c r="F81" s="35">
        <v>64158.6</v>
      </c>
      <c r="G81" s="10" t="s">
        <v>64</v>
      </c>
      <c r="H81" s="10" t="s">
        <v>46</v>
      </c>
      <c r="I81" s="10">
        <v>0</v>
      </c>
    </row>
    <row r="82" spans="1:9" x14ac:dyDescent="0.25">
      <c r="A82" s="10" t="s">
        <v>232</v>
      </c>
      <c r="B82" s="10" t="s">
        <v>233</v>
      </c>
      <c r="C82" s="10" t="s">
        <v>49</v>
      </c>
      <c r="D82" s="35">
        <v>51340</v>
      </c>
      <c r="E82" s="35">
        <v>5134</v>
      </c>
      <c r="F82" s="35">
        <v>56474</v>
      </c>
      <c r="G82" s="10" t="s">
        <v>45</v>
      </c>
      <c r="H82" s="10" t="s">
        <v>46</v>
      </c>
      <c r="I82" s="10">
        <v>2</v>
      </c>
    </row>
    <row r="83" spans="1:9" x14ac:dyDescent="0.25">
      <c r="A83" s="10" t="s">
        <v>234</v>
      </c>
      <c r="B83" s="10" t="s">
        <v>235</v>
      </c>
      <c r="C83" s="10" t="s">
        <v>49</v>
      </c>
      <c r="D83" s="35">
        <v>26041</v>
      </c>
      <c r="E83" s="35">
        <v>2604.1</v>
      </c>
      <c r="F83" s="35">
        <v>28645.1</v>
      </c>
      <c r="G83" s="10" t="s">
        <v>53</v>
      </c>
      <c r="H83" s="10" t="s">
        <v>65</v>
      </c>
      <c r="I83" s="10">
        <v>3</v>
      </c>
    </row>
    <row r="84" spans="1:9" x14ac:dyDescent="0.25">
      <c r="A84" s="10" t="s">
        <v>236</v>
      </c>
      <c r="B84" s="10" t="s">
        <v>237</v>
      </c>
      <c r="C84" s="10" t="s">
        <v>49</v>
      </c>
      <c r="D84" s="35">
        <v>33051</v>
      </c>
      <c r="E84" s="35">
        <v>3305.1</v>
      </c>
      <c r="F84" s="35">
        <v>36356.1</v>
      </c>
      <c r="G84" s="10" t="s">
        <v>89</v>
      </c>
      <c r="H84" s="10" t="s">
        <v>65</v>
      </c>
      <c r="I84" s="10">
        <v>4</v>
      </c>
    </row>
    <row r="85" spans="1:9" x14ac:dyDescent="0.25">
      <c r="A85" s="10" t="s">
        <v>238</v>
      </c>
      <c r="B85" s="10" t="s">
        <v>239</v>
      </c>
      <c r="C85" s="10" t="s">
        <v>149</v>
      </c>
      <c r="D85" s="35">
        <v>35785</v>
      </c>
      <c r="E85" s="35">
        <v>3578.5</v>
      </c>
      <c r="F85" s="35">
        <v>39363.5</v>
      </c>
      <c r="G85" s="10" t="s">
        <v>45</v>
      </c>
      <c r="H85" s="10" t="s">
        <v>65</v>
      </c>
      <c r="I85" s="10">
        <v>6</v>
      </c>
    </row>
    <row r="86" spans="1:9" x14ac:dyDescent="0.25">
      <c r="A86" s="10" t="s">
        <v>240</v>
      </c>
      <c r="B86" s="10" t="s">
        <v>241</v>
      </c>
      <c r="C86" s="10" t="s">
        <v>41</v>
      </c>
      <c r="D86" s="35">
        <v>72820</v>
      </c>
      <c r="E86" s="35">
        <v>7282</v>
      </c>
      <c r="F86" s="35">
        <v>80102</v>
      </c>
      <c r="G86" s="10" t="s">
        <v>64</v>
      </c>
      <c r="H86" s="10" t="s">
        <v>65</v>
      </c>
      <c r="I86" s="10">
        <v>0</v>
      </c>
    </row>
    <row r="87" spans="1:9" x14ac:dyDescent="0.25">
      <c r="A87" s="10" t="s">
        <v>242</v>
      </c>
      <c r="B87" s="10" t="s">
        <v>243</v>
      </c>
      <c r="C87" s="10" t="s">
        <v>55</v>
      </c>
      <c r="D87" s="35">
        <v>35480</v>
      </c>
      <c r="E87" s="35">
        <v>3548</v>
      </c>
      <c r="F87" s="35">
        <v>39028</v>
      </c>
      <c r="G87" s="10" t="s">
        <v>53</v>
      </c>
      <c r="H87" s="10" t="s">
        <v>46</v>
      </c>
      <c r="I87" s="10">
        <v>4</v>
      </c>
    </row>
    <row r="88" spans="1:9" x14ac:dyDescent="0.25">
      <c r="A88" s="10" t="s">
        <v>244</v>
      </c>
      <c r="B88" s="10" t="s">
        <v>245</v>
      </c>
      <c r="C88" s="10" t="s">
        <v>61</v>
      </c>
      <c r="D88" s="35">
        <v>28044</v>
      </c>
      <c r="E88" s="35">
        <v>2804.4</v>
      </c>
      <c r="F88" s="35">
        <v>30848.400000000001</v>
      </c>
      <c r="G88" s="10" t="s">
        <v>45</v>
      </c>
      <c r="H88" s="10" t="s">
        <v>65</v>
      </c>
      <c r="I88" s="10">
        <v>0</v>
      </c>
    </row>
    <row r="89" spans="1:9" x14ac:dyDescent="0.25">
      <c r="A89" s="10" t="s">
        <v>246</v>
      </c>
      <c r="B89" s="10" t="s">
        <v>247</v>
      </c>
      <c r="C89" s="10" t="s">
        <v>55</v>
      </c>
      <c r="D89" s="35">
        <v>67535</v>
      </c>
      <c r="E89" s="35">
        <v>6753.5</v>
      </c>
      <c r="F89" s="35">
        <v>74288.5</v>
      </c>
      <c r="G89" s="10" t="s">
        <v>89</v>
      </c>
      <c r="H89" s="10" t="s">
        <v>46</v>
      </c>
      <c r="I89" s="10">
        <v>4</v>
      </c>
    </row>
    <row r="90" spans="1:9" x14ac:dyDescent="0.25">
      <c r="A90" s="10" t="s">
        <v>248</v>
      </c>
      <c r="B90" s="10" t="s">
        <v>249</v>
      </c>
      <c r="C90" s="10" t="s">
        <v>49</v>
      </c>
      <c r="D90" s="35">
        <v>43487</v>
      </c>
      <c r="E90" s="35">
        <v>4348.7</v>
      </c>
      <c r="F90" s="35">
        <v>47835.7</v>
      </c>
      <c r="G90" s="10" t="s">
        <v>89</v>
      </c>
      <c r="H90" s="10" t="s">
        <v>65</v>
      </c>
      <c r="I90" s="10">
        <v>1</v>
      </c>
    </row>
    <row r="91" spans="1:9" x14ac:dyDescent="0.25">
      <c r="A91" s="10" t="s">
        <v>250</v>
      </c>
      <c r="B91" s="10" t="s">
        <v>251</v>
      </c>
      <c r="C91" s="10" t="s">
        <v>55</v>
      </c>
      <c r="D91" s="35">
        <v>29983</v>
      </c>
      <c r="E91" s="35">
        <v>2998.3</v>
      </c>
      <c r="F91" s="35">
        <v>32981.300000000003</v>
      </c>
      <c r="G91" s="10" t="s">
        <v>45</v>
      </c>
      <c r="H91" s="10" t="s">
        <v>65</v>
      </c>
      <c r="I91" s="10">
        <v>0</v>
      </c>
    </row>
    <row r="92" spans="1:9" x14ac:dyDescent="0.25">
      <c r="A92" s="10" t="s">
        <v>252</v>
      </c>
      <c r="B92" s="10" t="s">
        <v>253</v>
      </c>
      <c r="C92" s="10" t="s">
        <v>49</v>
      </c>
      <c r="D92" s="35">
        <v>34689</v>
      </c>
      <c r="E92" s="35">
        <v>3468.9</v>
      </c>
      <c r="F92" s="35">
        <v>38157.9</v>
      </c>
      <c r="G92" s="10" t="s">
        <v>53</v>
      </c>
      <c r="H92" s="10" t="s">
        <v>46</v>
      </c>
      <c r="I92" s="10">
        <v>5</v>
      </c>
    </row>
    <row r="93" spans="1:9" x14ac:dyDescent="0.25">
      <c r="A93" s="10" t="s">
        <v>254</v>
      </c>
      <c r="B93" s="10" t="s">
        <v>255</v>
      </c>
      <c r="C93" s="10" t="s">
        <v>73</v>
      </c>
      <c r="D93" s="35">
        <v>30452</v>
      </c>
      <c r="E93" s="35">
        <v>3045.2</v>
      </c>
      <c r="F93" s="35">
        <v>33497.199999999997</v>
      </c>
      <c r="G93" s="10" t="s">
        <v>89</v>
      </c>
      <c r="H93" s="10" t="s">
        <v>46</v>
      </c>
      <c r="I93" s="10">
        <v>4</v>
      </c>
    </row>
    <row r="94" spans="1:9" x14ac:dyDescent="0.25">
      <c r="A94" s="10" t="s">
        <v>256</v>
      </c>
      <c r="B94" s="10" t="s">
        <v>257</v>
      </c>
      <c r="C94" s="10" t="s">
        <v>49</v>
      </c>
      <c r="D94" s="35">
        <v>77179</v>
      </c>
      <c r="E94" s="35">
        <v>7717.9</v>
      </c>
      <c r="F94" s="35">
        <v>84896.9</v>
      </c>
      <c r="G94" s="10" t="s">
        <v>64</v>
      </c>
      <c r="H94" s="10" t="s">
        <v>46</v>
      </c>
      <c r="I94" s="10">
        <v>0</v>
      </c>
    </row>
    <row r="95" spans="1:9" x14ac:dyDescent="0.25">
      <c r="A95" s="10" t="s">
        <v>259</v>
      </c>
      <c r="B95" s="10" t="s">
        <v>54</v>
      </c>
      <c r="C95" s="10" t="s">
        <v>49</v>
      </c>
      <c r="D95" s="35">
        <v>27081</v>
      </c>
      <c r="E95" s="35">
        <v>2708.1</v>
      </c>
      <c r="F95" s="35">
        <v>29789.1</v>
      </c>
      <c r="G95" s="10" t="s">
        <v>89</v>
      </c>
      <c r="H95" s="10" t="s">
        <v>46</v>
      </c>
      <c r="I95" s="10">
        <v>4</v>
      </c>
    </row>
    <row r="96" spans="1:9" x14ac:dyDescent="0.25">
      <c r="A96" s="10" t="s">
        <v>260</v>
      </c>
      <c r="B96" s="10" t="s">
        <v>91</v>
      </c>
      <c r="C96" s="10" t="s">
        <v>49</v>
      </c>
      <c r="D96" s="35">
        <v>104565</v>
      </c>
      <c r="E96" s="35">
        <v>10456.5</v>
      </c>
      <c r="F96" s="35">
        <v>115021.5</v>
      </c>
      <c r="G96" s="10" t="s">
        <v>53</v>
      </c>
      <c r="H96" s="10" t="s">
        <v>46</v>
      </c>
      <c r="I96" s="10">
        <v>4</v>
      </c>
    </row>
    <row r="97" spans="1:9" x14ac:dyDescent="0.25">
      <c r="A97" s="10" t="s">
        <v>260</v>
      </c>
      <c r="B97" s="10" t="s">
        <v>261</v>
      </c>
      <c r="C97" s="10" t="s">
        <v>41</v>
      </c>
      <c r="D97" s="35">
        <v>79061</v>
      </c>
      <c r="E97" s="35">
        <v>7906.1</v>
      </c>
      <c r="F97" s="35">
        <v>86967.1</v>
      </c>
      <c r="G97" s="10" t="s">
        <v>45</v>
      </c>
      <c r="H97" s="10" t="s">
        <v>46</v>
      </c>
      <c r="I97" s="10">
        <v>1</v>
      </c>
    </row>
    <row r="98" spans="1:9" x14ac:dyDescent="0.25">
      <c r="A98" s="10" t="s">
        <v>262</v>
      </c>
      <c r="B98" s="10" t="s">
        <v>263</v>
      </c>
      <c r="C98" s="10" t="s">
        <v>149</v>
      </c>
      <c r="D98" s="35">
        <v>23239</v>
      </c>
      <c r="E98" s="35">
        <v>2323.9</v>
      </c>
      <c r="F98" s="35">
        <v>25562.9</v>
      </c>
      <c r="G98" s="10" t="s">
        <v>45</v>
      </c>
      <c r="H98" s="10" t="s">
        <v>46</v>
      </c>
      <c r="I98" s="10">
        <v>2</v>
      </c>
    </row>
    <row r="99" spans="1:9" x14ac:dyDescent="0.25">
      <c r="A99" s="10" t="s">
        <v>264</v>
      </c>
      <c r="B99" s="10" t="s">
        <v>265</v>
      </c>
      <c r="C99" s="10" t="s">
        <v>55</v>
      </c>
      <c r="D99" s="35">
        <v>58358</v>
      </c>
      <c r="E99" s="35">
        <v>5835.8</v>
      </c>
      <c r="F99" s="35">
        <v>64193.8</v>
      </c>
      <c r="G99" s="10" t="s">
        <v>53</v>
      </c>
      <c r="H99" s="10" t="s">
        <v>46</v>
      </c>
      <c r="I99" s="10">
        <v>5</v>
      </c>
    </row>
    <row r="100" spans="1:9" x14ac:dyDescent="0.25">
      <c r="A100" s="10" t="s">
        <v>264</v>
      </c>
      <c r="B100" s="10" t="s">
        <v>266</v>
      </c>
      <c r="C100" s="10" t="s">
        <v>61</v>
      </c>
      <c r="D100" s="35">
        <v>28044</v>
      </c>
      <c r="E100" s="35">
        <v>2804.4</v>
      </c>
      <c r="F100" s="35">
        <v>30848.400000000001</v>
      </c>
      <c r="G100" s="10" t="s">
        <v>53</v>
      </c>
      <c r="H100" s="10" t="s">
        <v>46</v>
      </c>
      <c r="I100" s="10">
        <v>5</v>
      </c>
    </row>
    <row r="101" spans="1:9" x14ac:dyDescent="0.25">
      <c r="A101" s="10" t="s">
        <v>267</v>
      </c>
      <c r="B101" s="10" t="s">
        <v>190</v>
      </c>
      <c r="C101" s="10" t="s">
        <v>73</v>
      </c>
      <c r="D101" s="35">
        <v>32627</v>
      </c>
      <c r="E101" s="35">
        <v>3262.7</v>
      </c>
      <c r="F101" s="35">
        <v>35889.699999999997</v>
      </c>
      <c r="G101" s="10" t="s">
        <v>89</v>
      </c>
      <c r="H101" s="10" t="s">
        <v>65</v>
      </c>
      <c r="I101" s="10">
        <v>4</v>
      </c>
    </row>
    <row r="102" spans="1:9" x14ac:dyDescent="0.25">
      <c r="A102" s="10" t="s">
        <v>268</v>
      </c>
      <c r="B102" s="10" t="s">
        <v>269</v>
      </c>
      <c r="C102" s="10" t="s">
        <v>49</v>
      </c>
      <c r="D102" s="35">
        <v>31917</v>
      </c>
      <c r="E102" s="35">
        <v>3191.7</v>
      </c>
      <c r="F102" s="35">
        <v>35108.699999999997</v>
      </c>
      <c r="G102" s="10" t="s">
        <v>89</v>
      </c>
      <c r="H102" s="10" t="s">
        <v>65</v>
      </c>
      <c r="I102" s="10">
        <v>2</v>
      </c>
    </row>
    <row r="103" spans="1:9" x14ac:dyDescent="0.25">
      <c r="A103" s="10" t="s">
        <v>270</v>
      </c>
      <c r="B103" s="10" t="s">
        <v>261</v>
      </c>
      <c r="C103" s="10" t="s">
        <v>49</v>
      </c>
      <c r="D103" s="35">
        <v>97096</v>
      </c>
      <c r="E103" s="35">
        <v>9709.6</v>
      </c>
      <c r="F103" s="35">
        <v>106805.6</v>
      </c>
      <c r="G103" s="10" t="s">
        <v>53</v>
      </c>
      <c r="H103" s="10" t="s">
        <v>46</v>
      </c>
      <c r="I103" s="10">
        <v>3</v>
      </c>
    </row>
    <row r="104" spans="1:9" x14ac:dyDescent="0.25">
      <c r="A104" s="10" t="s">
        <v>270</v>
      </c>
      <c r="B104" s="10" t="s">
        <v>271</v>
      </c>
      <c r="C104" s="10" t="s">
        <v>55</v>
      </c>
      <c r="D104" s="35">
        <v>50651</v>
      </c>
      <c r="E104" s="35">
        <v>5065.1000000000004</v>
      </c>
      <c r="F104" s="35">
        <v>55716.1</v>
      </c>
      <c r="G104" s="10" t="s">
        <v>45</v>
      </c>
      <c r="H104" s="10" t="s">
        <v>65</v>
      </c>
      <c r="I104" s="10">
        <v>6</v>
      </c>
    </row>
    <row r="105" spans="1:9" x14ac:dyDescent="0.25">
      <c r="A105" s="10" t="s">
        <v>270</v>
      </c>
      <c r="B105" s="10" t="s">
        <v>272</v>
      </c>
      <c r="C105" s="10" t="s">
        <v>49</v>
      </c>
      <c r="D105" s="35">
        <v>31914</v>
      </c>
      <c r="E105" s="35">
        <v>3191.4</v>
      </c>
      <c r="F105" s="35">
        <v>35105.4</v>
      </c>
      <c r="G105" s="10" t="s">
        <v>53</v>
      </c>
      <c r="H105" s="10" t="s">
        <v>65</v>
      </c>
      <c r="I105" s="10">
        <v>0</v>
      </c>
    </row>
    <row r="106" spans="1:9" x14ac:dyDescent="0.25">
      <c r="A106" s="10" t="s">
        <v>273</v>
      </c>
      <c r="B106" s="10" t="s">
        <v>274</v>
      </c>
      <c r="C106" s="10" t="s">
        <v>61</v>
      </c>
      <c r="D106" s="35">
        <v>57756</v>
      </c>
      <c r="E106" s="35">
        <v>5775.6</v>
      </c>
      <c r="F106" s="35">
        <v>63531.6</v>
      </c>
      <c r="G106" s="10" t="s">
        <v>53</v>
      </c>
      <c r="H106" s="10" t="s">
        <v>65</v>
      </c>
      <c r="I106" s="10">
        <v>3</v>
      </c>
    </row>
    <row r="107" spans="1:9" x14ac:dyDescent="0.25">
      <c r="A107" s="10" t="s">
        <v>275</v>
      </c>
      <c r="B107" s="10" t="s">
        <v>276</v>
      </c>
      <c r="C107" s="10" t="s">
        <v>55</v>
      </c>
      <c r="D107" s="35">
        <v>24854</v>
      </c>
      <c r="E107" s="35">
        <v>2485.4</v>
      </c>
      <c r="F107" s="35">
        <v>27339.4</v>
      </c>
      <c r="G107" s="10" t="s">
        <v>64</v>
      </c>
      <c r="H107" s="10" t="s">
        <v>65</v>
      </c>
      <c r="I107" s="10">
        <v>0</v>
      </c>
    </row>
    <row r="108" spans="1:9" x14ac:dyDescent="0.25">
      <c r="A108" s="10" t="s">
        <v>277</v>
      </c>
      <c r="B108" s="10" t="s">
        <v>278</v>
      </c>
      <c r="C108" s="10" t="s">
        <v>49</v>
      </c>
      <c r="D108" s="35">
        <v>49485</v>
      </c>
      <c r="E108" s="35">
        <v>4948.5</v>
      </c>
      <c r="F108" s="35">
        <v>54433.5</v>
      </c>
      <c r="G108" s="10" t="s">
        <v>89</v>
      </c>
      <c r="H108" s="10" t="s">
        <v>65</v>
      </c>
      <c r="I108" s="10">
        <v>5</v>
      </c>
    </row>
    <row r="109" spans="1:9" x14ac:dyDescent="0.25">
      <c r="A109" s="10" t="s">
        <v>279</v>
      </c>
      <c r="B109" s="10" t="s">
        <v>280</v>
      </c>
      <c r="C109" s="10" t="s">
        <v>55</v>
      </c>
      <c r="D109" s="35">
        <v>29983</v>
      </c>
      <c r="E109" s="35">
        <v>2998.3</v>
      </c>
      <c r="F109" s="35">
        <v>32981.300000000003</v>
      </c>
      <c r="G109" s="10" t="s">
        <v>45</v>
      </c>
      <c r="H109" s="10" t="s">
        <v>65</v>
      </c>
      <c r="I109" s="10">
        <v>1</v>
      </c>
    </row>
    <row r="110" spans="1:9" x14ac:dyDescent="0.25">
      <c r="A110" s="10" t="s">
        <v>281</v>
      </c>
      <c r="B110" s="10" t="s">
        <v>282</v>
      </c>
      <c r="C110" s="10" t="s">
        <v>149</v>
      </c>
      <c r="D110" s="35">
        <v>23239</v>
      </c>
      <c r="E110" s="35">
        <v>2323.9</v>
      </c>
      <c r="F110" s="35">
        <v>25562.9</v>
      </c>
      <c r="G110" s="10" t="s">
        <v>53</v>
      </c>
      <c r="H110" s="10" t="s">
        <v>65</v>
      </c>
      <c r="I110" s="10">
        <v>1</v>
      </c>
    </row>
    <row r="111" spans="1:9" x14ac:dyDescent="0.25">
      <c r="A111" s="10" t="s">
        <v>283</v>
      </c>
      <c r="B111" s="10" t="s">
        <v>284</v>
      </c>
      <c r="C111" s="10" t="s">
        <v>55</v>
      </c>
      <c r="D111" s="35">
        <v>61856</v>
      </c>
      <c r="E111" s="35">
        <v>6185.6</v>
      </c>
      <c r="F111" s="35">
        <v>68041.600000000006</v>
      </c>
      <c r="G111" s="10" t="s">
        <v>45</v>
      </c>
      <c r="H111" s="10" t="s">
        <v>65</v>
      </c>
      <c r="I111" s="10">
        <v>5</v>
      </c>
    </row>
    <row r="112" spans="1:9" x14ac:dyDescent="0.25">
      <c r="A112" s="10" t="s">
        <v>285</v>
      </c>
      <c r="B112" s="10" t="s">
        <v>175</v>
      </c>
      <c r="C112" s="10" t="s">
        <v>49</v>
      </c>
      <c r="D112" s="35">
        <v>58482</v>
      </c>
      <c r="E112" s="35">
        <v>5848.2</v>
      </c>
      <c r="F112" s="35">
        <v>64330.2</v>
      </c>
      <c r="G112" s="10" t="s">
        <v>53</v>
      </c>
      <c r="H112" s="10" t="s">
        <v>46</v>
      </c>
      <c r="I112" s="10">
        <v>2</v>
      </c>
    </row>
    <row r="113" spans="1:9" x14ac:dyDescent="0.25">
      <c r="A113" s="10" t="s">
        <v>286</v>
      </c>
      <c r="B113" s="10" t="s">
        <v>287</v>
      </c>
      <c r="C113" s="10" t="s">
        <v>55</v>
      </c>
      <c r="D113" s="35">
        <v>69070</v>
      </c>
      <c r="E113" s="35">
        <v>6907</v>
      </c>
      <c r="F113" s="35">
        <v>75977</v>
      </c>
      <c r="G113" s="10" t="s">
        <v>45</v>
      </c>
      <c r="H113" s="10" t="s">
        <v>65</v>
      </c>
      <c r="I113" s="10">
        <v>4</v>
      </c>
    </row>
    <row r="114" spans="1:9" x14ac:dyDescent="0.25">
      <c r="A114" s="10" t="s">
        <v>288</v>
      </c>
      <c r="B114" s="10" t="s">
        <v>289</v>
      </c>
      <c r="C114" s="10" t="s">
        <v>55</v>
      </c>
      <c r="D114" s="35">
        <v>29362</v>
      </c>
      <c r="E114" s="35">
        <v>2936.2</v>
      </c>
      <c r="F114" s="35">
        <v>32298.2</v>
      </c>
      <c r="G114" s="10" t="s">
        <v>89</v>
      </c>
      <c r="H114" s="10" t="s">
        <v>46</v>
      </c>
      <c r="I114" s="10">
        <v>0</v>
      </c>
    </row>
    <row r="115" spans="1:9" x14ac:dyDescent="0.25">
      <c r="A115" s="10" t="s">
        <v>290</v>
      </c>
      <c r="B115" s="10" t="s">
        <v>291</v>
      </c>
      <c r="C115" s="10" t="s">
        <v>41</v>
      </c>
      <c r="D115" s="35">
        <v>32884</v>
      </c>
      <c r="E115" s="35">
        <v>3288.4</v>
      </c>
      <c r="F115" s="35">
        <v>36172.400000000001</v>
      </c>
      <c r="G115" s="10" t="s">
        <v>53</v>
      </c>
      <c r="H115" s="10" t="s">
        <v>65</v>
      </c>
      <c r="I115" s="10">
        <v>3</v>
      </c>
    </row>
    <row r="116" spans="1:9" x14ac:dyDescent="0.25">
      <c r="A116" s="10" t="s">
        <v>292</v>
      </c>
      <c r="B116" s="10" t="s">
        <v>293</v>
      </c>
      <c r="C116" s="10" t="s">
        <v>49</v>
      </c>
      <c r="D116" s="35">
        <v>29015</v>
      </c>
      <c r="E116" s="35">
        <v>2901.5</v>
      </c>
      <c r="F116" s="35">
        <v>31916.5</v>
      </c>
      <c r="G116" s="10" t="s">
        <v>45</v>
      </c>
      <c r="H116" s="10" t="s">
        <v>46</v>
      </c>
      <c r="I116" s="10">
        <v>3</v>
      </c>
    </row>
    <row r="117" spans="1:9" x14ac:dyDescent="0.25">
      <c r="A117" s="10" t="s">
        <v>294</v>
      </c>
      <c r="B117" s="10" t="s">
        <v>295</v>
      </c>
      <c r="C117" s="10" t="s">
        <v>73</v>
      </c>
      <c r="D117" s="35">
        <v>28550</v>
      </c>
      <c r="E117" s="35">
        <v>2855</v>
      </c>
      <c r="F117" s="35">
        <v>31405</v>
      </c>
      <c r="G117" s="10" t="s">
        <v>53</v>
      </c>
      <c r="H117" s="10" t="s">
        <v>46</v>
      </c>
      <c r="I117" s="10">
        <v>0</v>
      </c>
    </row>
    <row r="118" spans="1:9" x14ac:dyDescent="0.25">
      <c r="A118" s="10" t="s">
        <v>294</v>
      </c>
      <c r="B118" s="10" t="s">
        <v>137</v>
      </c>
      <c r="C118" s="10" t="s">
        <v>73</v>
      </c>
      <c r="D118" s="35">
        <v>27598</v>
      </c>
      <c r="E118" s="35">
        <v>2759.8</v>
      </c>
      <c r="F118" s="35">
        <v>30357.8</v>
      </c>
      <c r="G118" s="10" t="s">
        <v>89</v>
      </c>
      <c r="H118" s="10" t="s">
        <v>46</v>
      </c>
      <c r="I118" s="10">
        <v>0</v>
      </c>
    </row>
    <row r="119" spans="1:9" x14ac:dyDescent="0.25">
      <c r="A119" s="10" t="s">
        <v>296</v>
      </c>
      <c r="B119" s="10" t="s">
        <v>297</v>
      </c>
      <c r="C119" s="10" t="s">
        <v>55</v>
      </c>
      <c r="D119" s="35">
        <v>25147</v>
      </c>
      <c r="E119" s="35">
        <v>2514.6999999999998</v>
      </c>
      <c r="F119" s="35">
        <v>27661.7</v>
      </c>
      <c r="G119" s="10" t="s">
        <v>89</v>
      </c>
      <c r="H119" s="10" t="s">
        <v>46</v>
      </c>
      <c r="I119" s="10">
        <v>1</v>
      </c>
    </row>
    <row r="120" spans="1:9" x14ac:dyDescent="0.25">
      <c r="A120" s="10" t="s">
        <v>298</v>
      </c>
      <c r="B120" s="10" t="s">
        <v>299</v>
      </c>
      <c r="C120" s="10" t="s">
        <v>55</v>
      </c>
      <c r="D120" s="35">
        <v>23036</v>
      </c>
      <c r="E120" s="35">
        <v>2303.6</v>
      </c>
      <c r="F120" s="35">
        <v>25339.599999999999</v>
      </c>
      <c r="G120" s="10" t="s">
        <v>53</v>
      </c>
      <c r="H120" s="10" t="s">
        <v>46</v>
      </c>
      <c r="I120" s="10">
        <v>3</v>
      </c>
    </row>
    <row r="121" spans="1:9" x14ac:dyDescent="0.25">
      <c r="A121" s="10" t="s">
        <v>300</v>
      </c>
      <c r="B121" s="10" t="s">
        <v>301</v>
      </c>
      <c r="C121" s="10" t="s">
        <v>55</v>
      </c>
      <c r="D121" s="35">
        <v>30411</v>
      </c>
      <c r="E121" s="35">
        <v>3041.1</v>
      </c>
      <c r="F121" s="35">
        <v>33452.1</v>
      </c>
      <c r="G121" s="10" t="s">
        <v>89</v>
      </c>
      <c r="H121" s="10" t="s">
        <v>65</v>
      </c>
      <c r="I121" s="10">
        <v>0</v>
      </c>
    </row>
    <row r="122" spans="1:9" x14ac:dyDescent="0.25">
      <c r="A122" s="10" t="s">
        <v>302</v>
      </c>
      <c r="B122" s="10" t="s">
        <v>211</v>
      </c>
      <c r="C122" s="10" t="s">
        <v>73</v>
      </c>
      <c r="D122" s="35">
        <v>26101</v>
      </c>
      <c r="E122" s="35">
        <v>2610.1</v>
      </c>
      <c r="F122" s="35">
        <v>28711.1</v>
      </c>
      <c r="G122" s="10" t="s">
        <v>53</v>
      </c>
      <c r="H122" s="10" t="s">
        <v>65</v>
      </c>
      <c r="I122" s="10">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C1365-C763-4277-A46D-BE0EFF64627C}">
  <sheetPr codeName="Hoja5"/>
  <dimension ref="A1:E27"/>
  <sheetViews>
    <sheetView showGridLines="0" zoomScaleNormal="100" workbookViewId="0">
      <selection activeCell="E8" sqref="E8"/>
    </sheetView>
  </sheetViews>
  <sheetFormatPr baseColWidth="10" defaultRowHeight="15" x14ac:dyDescent="0.25"/>
  <cols>
    <col min="1" max="1" width="24.5703125" customWidth="1"/>
    <col min="2" max="2" width="21" bestFit="1" customWidth="1"/>
    <col min="3" max="3" width="11" bestFit="1" customWidth="1"/>
    <col min="5" max="5" width="14.85546875" customWidth="1"/>
  </cols>
  <sheetData>
    <row r="1" spans="1:5" ht="15.75" thickBot="1" x14ac:dyDescent="0.3">
      <c r="A1" s="41" t="s">
        <v>304</v>
      </c>
      <c r="B1" s="41"/>
      <c r="C1" s="10"/>
    </row>
    <row r="2" spans="1:5" ht="15.75" thickBot="1" x14ac:dyDescent="0.3">
      <c r="A2" s="10"/>
      <c r="B2" s="10"/>
      <c r="C2" s="10"/>
      <c r="D2" s="42" t="s">
        <v>344</v>
      </c>
      <c r="E2" s="43"/>
    </row>
    <row r="3" spans="1:5" x14ac:dyDescent="0.25">
      <c r="A3" s="21" t="s">
        <v>305</v>
      </c>
      <c r="B3" s="21" t="s">
        <v>306</v>
      </c>
      <c r="C3" s="21" t="s">
        <v>307</v>
      </c>
    </row>
    <row r="4" spans="1:5" x14ac:dyDescent="0.25">
      <c r="A4" s="36" t="s">
        <v>308</v>
      </c>
      <c r="B4" s="8">
        <v>60</v>
      </c>
      <c r="C4" s="8">
        <v>60</v>
      </c>
    </row>
    <row r="5" spans="1:5" x14ac:dyDescent="0.25">
      <c r="A5" s="20" t="s">
        <v>309</v>
      </c>
      <c r="B5" s="8">
        <v>51</v>
      </c>
      <c r="C5" s="8">
        <v>111</v>
      </c>
    </row>
    <row r="6" spans="1:5" x14ac:dyDescent="0.25">
      <c r="A6" s="20" t="s">
        <v>310</v>
      </c>
      <c r="B6" s="8">
        <v>58</v>
      </c>
      <c r="C6" s="8">
        <v>169</v>
      </c>
    </row>
    <row r="7" spans="1:5" x14ac:dyDescent="0.25">
      <c r="A7" s="20" t="s">
        <v>311</v>
      </c>
      <c r="B7" s="8">
        <v>60</v>
      </c>
      <c r="C7" s="8">
        <v>229</v>
      </c>
    </row>
    <row r="8" spans="1:5" x14ac:dyDescent="0.25">
      <c r="A8" s="20" t="s">
        <v>312</v>
      </c>
      <c r="B8" s="8">
        <v>65</v>
      </c>
      <c r="C8" s="8">
        <v>294</v>
      </c>
    </row>
    <row r="9" spans="1:5" x14ac:dyDescent="0.25">
      <c r="A9" s="20" t="s">
        <v>313</v>
      </c>
      <c r="B9" s="8">
        <v>64</v>
      </c>
      <c r="C9" s="8">
        <v>358</v>
      </c>
    </row>
    <row r="10" spans="1:5" x14ac:dyDescent="0.25">
      <c r="A10" s="20" t="s">
        <v>314</v>
      </c>
      <c r="B10" s="8">
        <v>48</v>
      </c>
      <c r="C10" s="8">
        <v>406</v>
      </c>
    </row>
    <row r="11" spans="1:5" x14ac:dyDescent="0.25">
      <c r="A11" s="20" t="s">
        <v>315</v>
      </c>
      <c r="B11" s="8">
        <v>66</v>
      </c>
      <c r="C11" s="8">
        <v>472</v>
      </c>
    </row>
    <row r="12" spans="1:5" x14ac:dyDescent="0.25">
      <c r="A12" s="20" t="s">
        <v>316</v>
      </c>
      <c r="B12" s="8">
        <v>56</v>
      </c>
      <c r="C12" s="8">
        <v>528</v>
      </c>
    </row>
    <row r="13" spans="1:5" x14ac:dyDescent="0.25">
      <c r="A13" s="20" t="s">
        <v>317</v>
      </c>
      <c r="B13" s="8">
        <v>58</v>
      </c>
      <c r="C13" s="8">
        <v>586</v>
      </c>
    </row>
    <row r="14" spans="1:5" x14ac:dyDescent="0.25">
      <c r="A14" s="20" t="s">
        <v>318</v>
      </c>
      <c r="B14" s="8">
        <v>57</v>
      </c>
      <c r="C14" s="8">
        <v>643</v>
      </c>
    </row>
    <row r="15" spans="1:5" x14ac:dyDescent="0.25">
      <c r="A15" s="20" t="s">
        <v>319</v>
      </c>
      <c r="B15" s="8">
        <v>67</v>
      </c>
      <c r="C15" s="8">
        <v>710</v>
      </c>
    </row>
    <row r="16" spans="1:5" x14ac:dyDescent="0.25">
      <c r="A16" s="20" t="s">
        <v>320</v>
      </c>
      <c r="B16" s="8">
        <v>61</v>
      </c>
      <c r="C16" s="8">
        <v>771</v>
      </c>
    </row>
    <row r="17" spans="1:3" x14ac:dyDescent="0.25">
      <c r="A17" s="20" t="s">
        <v>321</v>
      </c>
      <c r="B17" s="8">
        <v>58</v>
      </c>
      <c r="C17" s="8">
        <v>829</v>
      </c>
    </row>
    <row r="18" spans="1:3" x14ac:dyDescent="0.25">
      <c r="A18" s="20" t="s">
        <v>322</v>
      </c>
      <c r="B18" s="8">
        <v>70</v>
      </c>
      <c r="C18" s="8">
        <v>899</v>
      </c>
    </row>
    <row r="19" spans="1:3" x14ac:dyDescent="0.25">
      <c r="A19" s="20" t="s">
        <v>323</v>
      </c>
      <c r="B19" s="8">
        <v>59</v>
      </c>
      <c r="C19" s="8">
        <v>958</v>
      </c>
    </row>
    <row r="20" spans="1:3" x14ac:dyDescent="0.25">
      <c r="A20" s="20" t="s">
        <v>324</v>
      </c>
      <c r="B20" s="8">
        <v>65</v>
      </c>
      <c r="C20" s="8">
        <v>1023</v>
      </c>
    </row>
    <row r="21" spans="1:3" x14ac:dyDescent="0.25">
      <c r="A21" s="20" t="s">
        <v>325</v>
      </c>
      <c r="B21" s="8">
        <v>68</v>
      </c>
      <c r="C21" s="8">
        <v>1091</v>
      </c>
    </row>
    <row r="22" spans="1:3" x14ac:dyDescent="0.25">
      <c r="A22" s="20" t="s">
        <v>326</v>
      </c>
      <c r="B22" s="8">
        <v>70</v>
      </c>
      <c r="C22" s="8">
        <v>1161</v>
      </c>
    </row>
    <row r="23" spans="1:3" x14ac:dyDescent="0.25">
      <c r="A23" s="20" t="s">
        <v>327</v>
      </c>
      <c r="B23" s="8">
        <v>55</v>
      </c>
      <c r="C23" s="8">
        <v>1216</v>
      </c>
    </row>
    <row r="24" spans="1:3" x14ac:dyDescent="0.25">
      <c r="A24" s="20" t="s">
        <v>328</v>
      </c>
      <c r="B24" s="8">
        <v>66</v>
      </c>
      <c r="C24" s="8">
        <v>1282</v>
      </c>
    </row>
    <row r="25" spans="1:3" x14ac:dyDescent="0.25">
      <c r="A25" s="20" t="s">
        <v>329</v>
      </c>
      <c r="B25" s="8">
        <v>54</v>
      </c>
      <c r="C25" s="8">
        <v>1336</v>
      </c>
    </row>
    <row r="26" spans="1:3" x14ac:dyDescent="0.25">
      <c r="A26" s="20" t="s">
        <v>330</v>
      </c>
      <c r="B26" s="8">
        <v>45</v>
      </c>
      <c r="C26" s="8">
        <v>1381</v>
      </c>
    </row>
    <row r="27" spans="1:3" x14ac:dyDescent="0.25">
      <c r="A27" s="20" t="s">
        <v>331</v>
      </c>
      <c r="B27" s="8">
        <v>62</v>
      </c>
      <c r="C27" s="8">
        <v>1443</v>
      </c>
    </row>
  </sheetData>
  <mergeCells count="2">
    <mergeCell ref="A1:B1"/>
    <mergeCell ref="D2:E2"/>
  </mergeCell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B7CA8-27A8-4EFE-81AF-974B868030B3}">
  <sheetPr codeName="Hoja6"/>
  <dimension ref="A1:F22"/>
  <sheetViews>
    <sheetView showGridLines="0" tabSelected="1" workbookViewId="0">
      <selection activeCell="F19" sqref="F19"/>
    </sheetView>
  </sheetViews>
  <sheetFormatPr baseColWidth="10" defaultColWidth="11.42578125" defaultRowHeight="12.75" x14ac:dyDescent="0.2"/>
  <cols>
    <col min="1" max="1" width="12.28515625" style="23" customWidth="1"/>
    <col min="2" max="3" width="11.42578125" style="23"/>
    <col min="4" max="4" width="21.5703125" style="23" bestFit="1" customWidth="1"/>
    <col min="5" max="5" width="11.42578125" style="23"/>
    <col min="6" max="6" width="23.42578125" style="23" customWidth="1"/>
    <col min="7" max="16384" width="11.42578125" style="23"/>
  </cols>
  <sheetData>
    <row r="1" spans="1:6" ht="17.25" thickBot="1" x14ac:dyDescent="0.35">
      <c r="A1" s="22" t="s">
        <v>332</v>
      </c>
      <c r="B1" s="22" t="s">
        <v>333</v>
      </c>
      <c r="C1" s="22" t="s">
        <v>34</v>
      </c>
      <c r="D1" s="22" t="s">
        <v>334</v>
      </c>
      <c r="F1" s="37" t="s">
        <v>349</v>
      </c>
    </row>
    <row r="2" spans="1:6" ht="15.75" x14ac:dyDescent="0.25">
      <c r="A2" s="24">
        <v>1</v>
      </c>
      <c r="B2" s="24">
        <v>25</v>
      </c>
      <c r="C2" s="24" t="s">
        <v>65</v>
      </c>
      <c r="D2" s="24" t="s">
        <v>345</v>
      </c>
    </row>
    <row r="3" spans="1:6" ht="15.75" x14ac:dyDescent="0.25">
      <c r="A3" s="24">
        <v>2</v>
      </c>
      <c r="B3" s="24">
        <v>22</v>
      </c>
      <c r="C3" s="24" t="s">
        <v>46</v>
      </c>
      <c r="D3" s="24" t="s">
        <v>346</v>
      </c>
    </row>
    <row r="4" spans="1:6" ht="15.75" x14ac:dyDescent="0.25">
      <c r="A4" s="24">
        <v>3</v>
      </c>
      <c r="B4" s="24">
        <v>21</v>
      </c>
      <c r="C4" s="24" t="s">
        <v>46</v>
      </c>
      <c r="D4" s="24" t="s">
        <v>346</v>
      </c>
    </row>
    <row r="5" spans="1:6" ht="15.75" x14ac:dyDescent="0.25">
      <c r="A5" s="24">
        <v>4</v>
      </c>
      <c r="B5" s="24">
        <v>14</v>
      </c>
      <c r="C5" s="24" t="s">
        <v>65</v>
      </c>
      <c r="D5" s="24" t="s">
        <v>347</v>
      </c>
    </row>
    <row r="6" spans="1:6" ht="15.75" x14ac:dyDescent="0.25">
      <c r="A6" s="24">
        <v>5</v>
      </c>
      <c r="B6" s="24">
        <v>17</v>
      </c>
      <c r="C6" s="24" t="s">
        <v>46</v>
      </c>
      <c r="D6" s="24" t="s">
        <v>348</v>
      </c>
    </row>
    <row r="7" spans="1:6" ht="15.75" x14ac:dyDescent="0.25">
      <c r="A7" s="24">
        <v>6</v>
      </c>
      <c r="B7" s="24">
        <v>19</v>
      </c>
      <c r="C7" s="24" t="s">
        <v>46</v>
      </c>
      <c r="D7" s="24" t="s">
        <v>346</v>
      </c>
    </row>
    <row r="8" spans="1:6" ht="15.75" x14ac:dyDescent="0.25">
      <c r="A8" s="24">
        <v>7</v>
      </c>
      <c r="B8" s="24">
        <v>2</v>
      </c>
      <c r="C8" s="24" t="s">
        <v>65</v>
      </c>
      <c r="D8" s="24" t="s">
        <v>347</v>
      </c>
    </row>
    <row r="9" spans="1:6" ht="15.75" x14ac:dyDescent="0.25">
      <c r="A9" s="24">
        <v>8</v>
      </c>
      <c r="B9" s="24">
        <v>5</v>
      </c>
      <c r="C9" s="24" t="s">
        <v>65</v>
      </c>
      <c r="D9" s="24" t="s">
        <v>347</v>
      </c>
    </row>
    <row r="10" spans="1:6" ht="15.75" x14ac:dyDescent="0.25">
      <c r="A10" s="24">
        <v>9</v>
      </c>
      <c r="B10" s="24">
        <v>17</v>
      </c>
      <c r="C10" s="24" t="s">
        <v>46</v>
      </c>
      <c r="D10" s="24" t="s">
        <v>348</v>
      </c>
    </row>
    <row r="11" spans="1:6" ht="15.75" x14ac:dyDescent="0.25">
      <c r="A11" s="24">
        <v>10</v>
      </c>
      <c r="B11" s="24">
        <v>20</v>
      </c>
      <c r="C11" s="24" t="s">
        <v>46</v>
      </c>
      <c r="D11" s="24" t="s">
        <v>346</v>
      </c>
    </row>
    <row r="12" spans="1:6" ht="15.75" x14ac:dyDescent="0.25">
      <c r="A12" s="24">
        <v>11</v>
      </c>
      <c r="B12" s="24">
        <v>5</v>
      </c>
      <c r="C12" s="24" t="s">
        <v>65</v>
      </c>
      <c r="D12" s="24" t="s">
        <v>347</v>
      </c>
    </row>
    <row r="13" spans="1:6" ht="15.75" x14ac:dyDescent="0.25">
      <c r="A13" s="24">
        <v>12</v>
      </c>
      <c r="B13" s="24">
        <v>45</v>
      </c>
      <c r="C13" s="24" t="s">
        <v>65</v>
      </c>
      <c r="D13" s="24" t="s">
        <v>345</v>
      </c>
    </row>
    <row r="14" spans="1:6" ht="15.75" x14ac:dyDescent="0.25">
      <c r="A14" s="24">
        <v>13</v>
      </c>
      <c r="B14" s="24">
        <v>35</v>
      </c>
      <c r="C14" s="24" t="s">
        <v>46</v>
      </c>
      <c r="D14" s="24" t="s">
        <v>346</v>
      </c>
    </row>
    <row r="15" spans="1:6" ht="15.75" x14ac:dyDescent="0.25">
      <c r="A15" s="24">
        <v>14</v>
      </c>
      <c r="B15" s="24">
        <v>12</v>
      </c>
      <c r="C15" s="24" t="s">
        <v>46</v>
      </c>
      <c r="D15" s="24" t="s">
        <v>348</v>
      </c>
    </row>
    <row r="16" spans="1:6" ht="15.75" x14ac:dyDescent="0.25">
      <c r="A16" s="24">
        <v>15</v>
      </c>
      <c r="B16" s="24">
        <v>30</v>
      </c>
      <c r="C16" s="24" t="s">
        <v>46</v>
      </c>
      <c r="D16" s="24" t="s">
        <v>346</v>
      </c>
    </row>
    <row r="17" spans="1:4" ht="15.75" x14ac:dyDescent="0.25">
      <c r="A17" s="24">
        <v>16</v>
      </c>
      <c r="B17" s="24">
        <v>15</v>
      </c>
      <c r="C17" s="24" t="s">
        <v>46</v>
      </c>
      <c r="D17" s="24" t="s">
        <v>348</v>
      </c>
    </row>
    <row r="18" spans="1:4" ht="15.75" x14ac:dyDescent="0.25">
      <c r="A18" s="24">
        <v>17</v>
      </c>
      <c r="B18" s="24">
        <v>27</v>
      </c>
      <c r="C18" s="24" t="s">
        <v>65</v>
      </c>
      <c r="D18" s="24" t="s">
        <v>345</v>
      </c>
    </row>
    <row r="19" spans="1:4" ht="15.75" x14ac:dyDescent="0.25">
      <c r="A19" s="24">
        <v>18</v>
      </c>
      <c r="B19" s="24">
        <v>26</v>
      </c>
      <c r="C19" s="24" t="s">
        <v>46</v>
      </c>
      <c r="D19" s="24" t="s">
        <v>346</v>
      </c>
    </row>
    <row r="20" spans="1:4" ht="15.75" x14ac:dyDescent="0.25">
      <c r="A20" s="24">
        <v>19</v>
      </c>
      <c r="B20" s="24">
        <v>22</v>
      </c>
      <c r="C20" s="24" t="s">
        <v>65</v>
      </c>
      <c r="D20" s="24" t="s">
        <v>345</v>
      </c>
    </row>
    <row r="21" spans="1:4" ht="15.75" x14ac:dyDescent="0.25">
      <c r="A21" s="24">
        <v>20</v>
      </c>
      <c r="B21" s="24">
        <v>21</v>
      </c>
      <c r="C21" s="24" t="s">
        <v>65</v>
      </c>
      <c r="D21" s="24" t="s">
        <v>345</v>
      </c>
    </row>
    <row r="22" spans="1:4" ht="15.75" x14ac:dyDescent="0.25">
      <c r="A22" s="24">
        <v>21</v>
      </c>
      <c r="B22" s="24">
        <v>12</v>
      </c>
      <c r="C22" s="24" t="s">
        <v>65</v>
      </c>
      <c r="D22" s="24" t="s">
        <v>347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INDICACIONES</vt:lpstr>
      <vt:lpstr>CALCULO_COMISIÓN</vt:lpstr>
      <vt:lpstr>DATOS</vt:lpstr>
      <vt:lpstr>DESTINO</vt:lpstr>
      <vt:lpstr>PRODUCCIÓN_DEL_DÍA</vt:lpstr>
      <vt:lpstr>CONDICIÓN_PASAJERO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 Crispín</dc:creator>
  <cp:lastModifiedBy>Ricardo</cp:lastModifiedBy>
  <dcterms:created xsi:type="dcterms:W3CDTF">2020-08-01T14:41:06Z</dcterms:created>
  <dcterms:modified xsi:type="dcterms:W3CDTF">2020-12-15T05:40:31Z</dcterms:modified>
</cp:coreProperties>
</file>